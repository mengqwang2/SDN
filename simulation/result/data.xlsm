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2202"/>
  <workbookPr autoCompressPictures="0"/>
  <bookViews>
    <workbookView xWindow="0" yWindow="0" windowWidth="25280" windowHeight="15620"/>
  </bookViews>
  <sheets>
    <sheet name="node" sheetId="1" r:id="rId1"/>
    <sheet name="ratio" sheetId="4" r:id="rId2"/>
    <sheet name="Sheet1" sheetId="5" r:id="rId3"/>
  </sheets>
  <definedNames>
    <definedName name="A4_" localSheetId="0">node!#REF!</definedName>
    <definedName name="A4_1" localSheetId="0">node!#REF!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1" i="4" l="1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  <c r="H2" i="4"/>
  <c r="G2" i="4"/>
</calcChain>
</file>

<file path=xl/connections.xml><?xml version="1.0" encoding="utf-8"?>
<connections xmlns="http://schemas.openxmlformats.org/spreadsheetml/2006/main">
  <connection id="1" name="A4.csv" type="6" refreshedVersion="0" background="1" saveData="1">
    <textPr fileType="mac" sourceFile="Macintosh HD:Users:mengqwang:Documents:FYP:simulation:A4.csv" comma="1">
      <textFields count="3">
        <textField/>
        <textField/>
        <textField/>
      </textFields>
    </textPr>
  </connection>
  <connection id="2" name="A4.csv1" type="6" refreshedVersion="0" background="1" saveData="1">
    <textPr fileType="mac" sourceFile="Macintosh HD:Users:mengqwang:Documents:FYP:simulation:A4.csv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<sst xmlns="http://schemas.openxmlformats.org/spreadsheetml/2006/main" count="185" uniqueCount="83">
  <si>
    <t>Topology</t>
  </si>
  <si>
    <t>Arpanet196912</t>
  </si>
  <si>
    <t>Telecomserbia</t>
  </si>
  <si>
    <t>Dataxchange</t>
  </si>
  <si>
    <t>Layer42</t>
  </si>
  <si>
    <t>Mren</t>
  </si>
  <si>
    <t>Epoch</t>
  </si>
  <si>
    <t>Napnet</t>
  </si>
  <si>
    <t>Getnet</t>
  </si>
  <si>
    <t>Heanet</t>
  </si>
  <si>
    <t>Netrail</t>
  </si>
  <si>
    <t>Sanren</t>
  </si>
  <si>
    <t>Gblnet</t>
  </si>
  <si>
    <t>Arpanet19706</t>
  </si>
  <si>
    <t>Gridnet</t>
  </si>
  <si>
    <t>Globalcenter</t>
  </si>
  <si>
    <t>Abilene</t>
  </si>
  <si>
    <t>Sprint</t>
  </si>
  <si>
    <t>Itnet</t>
  </si>
  <si>
    <t>Kreonet</t>
  </si>
  <si>
    <t>Navigata</t>
  </si>
  <si>
    <t>Nsfnet</t>
  </si>
  <si>
    <t>KentmanJul2005</t>
  </si>
  <si>
    <t>Garr199901</t>
  </si>
  <si>
    <t>HostwayInternational</t>
  </si>
  <si>
    <t>Peer1</t>
  </si>
  <si>
    <t>Goodnet</t>
  </si>
  <si>
    <t>Sago</t>
  </si>
  <si>
    <t>Arpanet19719</t>
  </si>
  <si>
    <t>Ibm</t>
  </si>
  <si>
    <t>Ans</t>
  </si>
  <si>
    <t>Highwinds</t>
  </si>
  <si>
    <t>Noel</t>
  </si>
  <si>
    <t>Aarnet</t>
  </si>
  <si>
    <t>Savvis</t>
  </si>
  <si>
    <t>Internetmci</t>
  </si>
  <si>
    <t>Rediris</t>
  </si>
  <si>
    <t>EliBackbone</t>
  </si>
  <si>
    <t>Oxford</t>
  </si>
  <si>
    <t>Quest</t>
  </si>
  <si>
    <t>Belnet2009</t>
  </si>
  <si>
    <t>Belnet2008</t>
  </si>
  <si>
    <t>Belnet2007</t>
  </si>
  <si>
    <t>Atmnet</t>
  </si>
  <si>
    <t>Packetexchange</t>
  </si>
  <si>
    <t>York</t>
  </si>
  <si>
    <t>Fccn</t>
  </si>
  <si>
    <t>Psinet</t>
  </si>
  <si>
    <t>Xeex</t>
  </si>
  <si>
    <t>HurricaneElectric</t>
  </si>
  <si>
    <t>Renater2001</t>
  </si>
  <si>
    <t>Renater1999</t>
  </si>
  <si>
    <t>AttMpls</t>
  </si>
  <si>
    <t>Agis</t>
  </si>
  <si>
    <t>Arpanet19723</t>
  </si>
  <si>
    <t>Geant2001</t>
  </si>
  <si>
    <t>Bbnplanet</t>
  </si>
  <si>
    <t>Integra</t>
  </si>
  <si>
    <t>Darkstrand</t>
  </si>
  <si>
    <t>Arpanet19728</t>
  </si>
  <si>
    <t>Digex</t>
  </si>
  <si>
    <t>Arnes</t>
  </si>
  <si>
    <t>Xspedius</t>
  </si>
  <si>
    <t>Geant2009</t>
  </si>
  <si>
    <t>NetworkUsa</t>
  </si>
  <si>
    <t>Geant2010</t>
  </si>
  <si>
    <t>Palmetto</t>
  </si>
  <si>
    <t>Bellcanada</t>
  </si>
  <si>
    <t>Surfnet</t>
  </si>
  <si>
    <t>Iris</t>
  </si>
  <si>
    <t>Uninett2010</t>
  </si>
  <si>
    <t>Number of Routers</t>
    <phoneticPr fontId="18" type="noConversion"/>
  </si>
  <si>
    <t>Naïve Greedy</t>
    <phoneticPr fontId="18" type="noConversion"/>
  </si>
  <si>
    <t>Multi-Flow Method</t>
    <phoneticPr fontId="18" type="noConversion"/>
  </si>
  <si>
    <t>Divide-and-Conquer</t>
    <phoneticPr fontId="18" type="noConversion"/>
  </si>
  <si>
    <t>Incremental greedy</t>
  </si>
  <si>
    <t>Percentage of controllers less than Network-partitioned-based method</t>
  </si>
  <si>
    <t>Percentage of controllers less than Incremental greedy</t>
  </si>
  <si>
    <t>Number of Routers</t>
  </si>
  <si>
    <t>Claranet</t>
  </si>
  <si>
    <t>Delta</t>
  </si>
  <si>
    <t>Primal-Dual-based method</t>
  </si>
  <si>
    <t>Network-Partition-based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</si>
</sst>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Alignment="1"/>
  </cellXfs>
  <cellStyles count="10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B8043B"/>
      <color rgb="FFC30641"/>
      <color rgb="FF00006F"/>
      <color rgb="FF7D7878"/>
      <color rgb="FFD40A49"/>
      <color rgb="FFDD0B4C"/>
      <color rgb="FFFF3554"/>
      <color rgb="FF8E0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connections" Target="connections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node!$B$1</c:f>
              <c:strCache>
                <c:ptCount val="1"/>
                <c:pt idx="0">
                  <c:v>Incremental greedy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15875" cap="rnd">
              <a:solidFill>
                <a:srgbClr val="000000"/>
              </a:solidFill>
              <a:round/>
            </a:ln>
            <a:effectLst/>
          </c:spPr>
          <c:invertIfNegative val="0"/>
          <c:cat>
            <c:strRef>
              <c:f>node!$A$2:$A$13</c:f>
              <c:strCache>
                <c:ptCount val="12"/>
                <c:pt idx="0">
                  <c:v>Arpanet196912</c:v>
                </c:pt>
                <c:pt idx="1">
                  <c:v>Mren</c:v>
                </c:pt>
                <c:pt idx="2">
                  <c:v>Getnet</c:v>
                </c:pt>
                <c:pt idx="3">
                  <c:v>Gblnet</c:v>
                </c:pt>
                <c:pt idx="4">
                  <c:v>Arpanet19706</c:v>
                </c:pt>
                <c:pt idx="5">
                  <c:v>Sprint</c:v>
                </c:pt>
                <c:pt idx="6">
                  <c:v>Navigata</c:v>
                </c:pt>
                <c:pt idx="7">
                  <c:v>Claranet</c:v>
                </c:pt>
                <c:pt idx="8">
                  <c:v>Garr199901</c:v>
                </c:pt>
                <c:pt idx="9">
                  <c:v>Goodnet</c:v>
                </c:pt>
                <c:pt idx="10">
                  <c:v>Arpanet19719</c:v>
                </c:pt>
                <c:pt idx="11">
                  <c:v>Rediris</c:v>
                </c:pt>
              </c:strCache>
            </c:strRef>
          </c:cat>
          <c:val>
            <c:numRef>
              <c:f>node!$B$2:$B$13</c:f>
              <c:numCache>
                <c:formatCode>General</c:formatCode>
                <c:ptCount val="12"/>
                <c:pt idx="0">
                  <c:v>2.0</c:v>
                </c:pt>
                <c:pt idx="1">
                  <c:v>1.0</c:v>
                </c:pt>
                <c:pt idx="2">
                  <c:v>4.0</c:v>
                </c:pt>
                <c:pt idx="3">
                  <c:v>2.0</c:v>
                </c:pt>
                <c:pt idx="4">
                  <c:v>3.0</c:v>
                </c:pt>
                <c:pt idx="5">
                  <c:v>6.0</c:v>
                </c:pt>
                <c:pt idx="6">
                  <c:v>7.0</c:v>
                </c:pt>
                <c:pt idx="7">
                  <c:v>5.0</c:v>
                </c:pt>
                <c:pt idx="8">
                  <c:v>2.0</c:v>
                </c:pt>
                <c:pt idx="9">
                  <c:v>10.0</c:v>
                </c:pt>
                <c:pt idx="10">
                  <c:v>5.0</c:v>
                </c:pt>
                <c:pt idx="11">
                  <c:v>2.0</c:v>
                </c:pt>
              </c:numCache>
            </c:numRef>
          </c:val>
        </c:ser>
        <c:ser>
          <c:idx val="1"/>
          <c:order val="1"/>
          <c:tx>
            <c:strRef>
              <c:f>node!$C$1</c:f>
              <c:strCache>
                <c:ptCount val="1"/>
                <c:pt idx="0">
                  <c:v>Network-Partition-based method</c:v>
                </c:pt>
              </c:strCache>
            </c:strRef>
          </c:tx>
          <c:spPr>
            <a:solidFill>
              <a:srgbClr val="7D7878"/>
            </a:solidFill>
            <a:ln w="15875" cap="rnd">
              <a:solidFill>
                <a:srgbClr val="000000"/>
              </a:solidFill>
              <a:round/>
            </a:ln>
            <a:effectLst/>
          </c:spPr>
          <c:invertIfNegative val="0"/>
          <c:cat>
            <c:strRef>
              <c:f>node!$A$2:$A$13</c:f>
              <c:strCache>
                <c:ptCount val="12"/>
                <c:pt idx="0">
                  <c:v>Arpanet196912</c:v>
                </c:pt>
                <c:pt idx="1">
                  <c:v>Mren</c:v>
                </c:pt>
                <c:pt idx="2">
                  <c:v>Getnet</c:v>
                </c:pt>
                <c:pt idx="3">
                  <c:v>Gblnet</c:v>
                </c:pt>
                <c:pt idx="4">
                  <c:v>Arpanet19706</c:v>
                </c:pt>
                <c:pt idx="5">
                  <c:v>Sprint</c:v>
                </c:pt>
                <c:pt idx="6">
                  <c:v>Navigata</c:v>
                </c:pt>
                <c:pt idx="7">
                  <c:v>Claranet</c:v>
                </c:pt>
                <c:pt idx="8">
                  <c:v>Garr199901</c:v>
                </c:pt>
                <c:pt idx="9">
                  <c:v>Goodnet</c:v>
                </c:pt>
                <c:pt idx="10">
                  <c:v>Arpanet19719</c:v>
                </c:pt>
                <c:pt idx="11">
                  <c:v>Rediris</c:v>
                </c:pt>
              </c:strCache>
            </c:strRef>
          </c:cat>
          <c:val>
            <c:numRef>
              <c:f>node!$C$2:$C$13</c:f>
              <c:numCache>
                <c:formatCode>General</c:formatCode>
                <c:ptCount val="12"/>
                <c:pt idx="0">
                  <c:v>2.0</c:v>
                </c:pt>
                <c:pt idx="1">
                  <c:v>1.0</c:v>
                </c:pt>
                <c:pt idx="2">
                  <c:v>4.0</c:v>
                </c:pt>
                <c:pt idx="3">
                  <c:v>4.0</c:v>
                </c:pt>
                <c:pt idx="4">
                  <c:v>3.0</c:v>
                </c:pt>
                <c:pt idx="5">
                  <c:v>8.0</c:v>
                </c:pt>
                <c:pt idx="6">
                  <c:v>7.0</c:v>
                </c:pt>
                <c:pt idx="7">
                  <c:v>4.0</c:v>
                </c:pt>
                <c:pt idx="8">
                  <c:v>2.0</c:v>
                </c:pt>
                <c:pt idx="9">
                  <c:v>11.0</c:v>
                </c:pt>
                <c:pt idx="10">
                  <c:v>5.0</c:v>
                </c:pt>
                <c:pt idx="11">
                  <c:v>3.0</c:v>
                </c:pt>
              </c:numCache>
            </c:numRef>
          </c:val>
        </c:ser>
        <c:ser>
          <c:idx val="2"/>
          <c:order val="2"/>
          <c:tx>
            <c:strRef>
              <c:f>node!$D$1</c:f>
              <c:strCache>
                <c:ptCount val="1"/>
                <c:pt idx="0">
                  <c:v>Primal-Dual-based method</c:v>
                </c:pt>
              </c:strCache>
            </c:strRef>
          </c:tx>
          <c:spPr>
            <a:solidFill>
              <a:srgbClr val="B8043B"/>
            </a:solidFill>
            <a:ln w="15875" cap="rnd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node!$A$2:$A$13</c:f>
              <c:strCache>
                <c:ptCount val="12"/>
                <c:pt idx="0">
                  <c:v>Arpanet196912</c:v>
                </c:pt>
                <c:pt idx="1">
                  <c:v>Mren</c:v>
                </c:pt>
                <c:pt idx="2">
                  <c:v>Getnet</c:v>
                </c:pt>
                <c:pt idx="3">
                  <c:v>Gblnet</c:v>
                </c:pt>
                <c:pt idx="4">
                  <c:v>Arpanet19706</c:v>
                </c:pt>
                <c:pt idx="5">
                  <c:v>Sprint</c:v>
                </c:pt>
                <c:pt idx="6">
                  <c:v>Navigata</c:v>
                </c:pt>
                <c:pt idx="7">
                  <c:v>Claranet</c:v>
                </c:pt>
                <c:pt idx="8">
                  <c:v>Garr199901</c:v>
                </c:pt>
                <c:pt idx="9">
                  <c:v>Goodnet</c:v>
                </c:pt>
                <c:pt idx="10">
                  <c:v>Arpanet19719</c:v>
                </c:pt>
                <c:pt idx="11">
                  <c:v>Rediris</c:v>
                </c:pt>
              </c:strCache>
            </c:strRef>
          </c:cat>
          <c:val>
            <c:numRef>
              <c:f>node!$D$2:$D$13</c:f>
              <c:numCache>
                <c:formatCode>General</c:formatCode>
                <c:ptCount val="12"/>
                <c:pt idx="0">
                  <c:v>2.0</c:v>
                </c:pt>
                <c:pt idx="1">
                  <c:v>1.0</c:v>
                </c:pt>
                <c:pt idx="2">
                  <c:v>4.0</c:v>
                </c:pt>
                <c:pt idx="3">
                  <c:v>2.0</c:v>
                </c:pt>
                <c:pt idx="4">
                  <c:v>3.0</c:v>
                </c:pt>
                <c:pt idx="5">
                  <c:v>7.0</c:v>
                </c:pt>
                <c:pt idx="6">
                  <c:v>8.0</c:v>
                </c:pt>
                <c:pt idx="7">
                  <c:v>5.0</c:v>
                </c:pt>
                <c:pt idx="8">
                  <c:v>2.0</c:v>
                </c:pt>
                <c:pt idx="9">
                  <c:v>11.0</c:v>
                </c:pt>
                <c:pt idx="10">
                  <c:v>5.0</c:v>
                </c:pt>
                <c:pt idx="11">
                  <c:v>4.0</c:v>
                </c:pt>
              </c:numCache>
            </c:numRef>
          </c:val>
        </c:ser>
        <c:ser>
          <c:idx val="3"/>
          <c:order val="3"/>
          <c:tx>
            <c:strRef>
              <c:f>node!$E$1</c:f>
              <c:strCache>
                <c:ptCount val="1"/>
                <c:pt idx="0">
                  <c:v>Number of Routers</c:v>
                </c:pt>
              </c:strCache>
            </c:strRef>
          </c:tx>
          <c:spPr>
            <a:solidFill>
              <a:srgbClr val="00006F"/>
            </a:solidFill>
            <a:ln w="15875" cap="rnd">
              <a:solidFill>
                <a:srgbClr val="000000"/>
              </a:solidFill>
              <a:round/>
            </a:ln>
            <a:effectLst/>
          </c:spPr>
          <c:invertIfNegative val="0"/>
          <c:cat>
            <c:strRef>
              <c:f>node!$A$2:$A$13</c:f>
              <c:strCache>
                <c:ptCount val="12"/>
                <c:pt idx="0">
                  <c:v>Arpanet196912</c:v>
                </c:pt>
                <c:pt idx="1">
                  <c:v>Mren</c:v>
                </c:pt>
                <c:pt idx="2">
                  <c:v>Getnet</c:v>
                </c:pt>
                <c:pt idx="3">
                  <c:v>Gblnet</c:v>
                </c:pt>
                <c:pt idx="4">
                  <c:v>Arpanet19706</c:v>
                </c:pt>
                <c:pt idx="5">
                  <c:v>Sprint</c:v>
                </c:pt>
                <c:pt idx="6">
                  <c:v>Navigata</c:v>
                </c:pt>
                <c:pt idx="7">
                  <c:v>Claranet</c:v>
                </c:pt>
                <c:pt idx="8">
                  <c:v>Garr199901</c:v>
                </c:pt>
                <c:pt idx="9">
                  <c:v>Goodnet</c:v>
                </c:pt>
                <c:pt idx="10">
                  <c:v>Arpanet19719</c:v>
                </c:pt>
                <c:pt idx="11">
                  <c:v>Rediris</c:v>
                </c:pt>
              </c:strCache>
            </c:strRef>
          </c:cat>
          <c:val>
            <c:numRef>
              <c:f>node!$E$2:$E$13</c:f>
              <c:numCache>
                <c:formatCode>General</c:formatCode>
                <c:ptCount val="12"/>
                <c:pt idx="0">
                  <c:v>4.0</c:v>
                </c:pt>
                <c:pt idx="1">
                  <c:v>6.0</c:v>
                </c:pt>
                <c:pt idx="2">
                  <c:v>7.0</c:v>
                </c:pt>
                <c:pt idx="3">
                  <c:v>8.0</c:v>
                </c:pt>
                <c:pt idx="4">
                  <c:v>9.0</c:v>
                </c:pt>
                <c:pt idx="5">
                  <c:v>11.0</c:v>
                </c:pt>
                <c:pt idx="6">
                  <c:v>13.0</c:v>
                </c:pt>
                <c:pt idx="7">
                  <c:v>15.0</c:v>
                </c:pt>
                <c:pt idx="8">
                  <c:v>16.0</c:v>
                </c:pt>
                <c:pt idx="9">
                  <c:v>17.0</c:v>
                </c:pt>
                <c:pt idx="10">
                  <c:v>18.0</c:v>
                </c:pt>
                <c:pt idx="11">
                  <c:v>19.0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0643960"/>
        <c:axId val="2100638104"/>
      </c:barChart>
      <c:catAx>
        <c:axId val="2100643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20" normalizeH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100638104"/>
        <c:crosses val="autoZero"/>
        <c:auto val="1"/>
        <c:lblAlgn val="ctr"/>
        <c:lblOffset val="100"/>
        <c:noMultiLvlLbl val="0"/>
      </c:catAx>
      <c:valAx>
        <c:axId val="2100638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100643960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107543045073934"/>
          <c:y val="0.166605967841194"/>
          <c:w val="0.358998522937036"/>
          <c:h val="0.2947658994548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node!$B$1</c:f>
              <c:strCache>
                <c:ptCount val="1"/>
                <c:pt idx="0">
                  <c:v>Incremental greedy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15875" cap="rnd">
              <a:solidFill>
                <a:srgbClr val="000000"/>
              </a:solidFill>
              <a:round/>
            </a:ln>
            <a:effectLst/>
          </c:spPr>
          <c:invertIfNegative val="0"/>
          <c:cat>
            <c:strRef>
              <c:f>node!$A$14:$A$29</c:f>
              <c:strCache>
                <c:ptCount val="16"/>
                <c:pt idx="0">
                  <c:v>Oxford</c:v>
                </c:pt>
                <c:pt idx="1">
                  <c:v>Belnet2007</c:v>
                </c:pt>
                <c:pt idx="2">
                  <c:v>Fccn</c:v>
                </c:pt>
                <c:pt idx="3">
                  <c:v>Renater2001</c:v>
                </c:pt>
                <c:pt idx="4">
                  <c:v>AttMpls</c:v>
                </c:pt>
                <c:pt idx="5">
                  <c:v>Integra</c:v>
                </c:pt>
                <c:pt idx="6">
                  <c:v>Darkstrand</c:v>
                </c:pt>
                <c:pt idx="7">
                  <c:v>Arpanet19728</c:v>
                </c:pt>
                <c:pt idx="8">
                  <c:v>Digex</c:v>
                </c:pt>
                <c:pt idx="9">
                  <c:v>NetworkUsa</c:v>
                </c:pt>
                <c:pt idx="10">
                  <c:v>Geant2010</c:v>
                </c:pt>
                <c:pt idx="11">
                  <c:v>Palmetto</c:v>
                </c:pt>
                <c:pt idx="12">
                  <c:v>Bellcanada</c:v>
                </c:pt>
                <c:pt idx="13">
                  <c:v>Surfnet</c:v>
                </c:pt>
                <c:pt idx="14">
                  <c:v>Iris</c:v>
                </c:pt>
                <c:pt idx="15">
                  <c:v>Uninett2010</c:v>
                </c:pt>
              </c:strCache>
            </c:strRef>
          </c:cat>
          <c:val>
            <c:numRef>
              <c:f>node!$B$14:$B$29</c:f>
              <c:numCache>
                <c:formatCode>General</c:formatCode>
                <c:ptCount val="16"/>
                <c:pt idx="0">
                  <c:v>1.0</c:v>
                </c:pt>
                <c:pt idx="1">
                  <c:v>1.0</c:v>
                </c:pt>
                <c:pt idx="2">
                  <c:v>3.0</c:v>
                </c:pt>
                <c:pt idx="3">
                  <c:v>3.0</c:v>
                </c:pt>
                <c:pt idx="4">
                  <c:v>7.0</c:v>
                </c:pt>
                <c:pt idx="5">
                  <c:v>7.0</c:v>
                </c:pt>
                <c:pt idx="6">
                  <c:v>8.0</c:v>
                </c:pt>
                <c:pt idx="7">
                  <c:v>8.0</c:v>
                </c:pt>
                <c:pt idx="8">
                  <c:v>8.0</c:v>
                </c:pt>
                <c:pt idx="9">
                  <c:v>2.0</c:v>
                </c:pt>
                <c:pt idx="10">
                  <c:v>14.0</c:v>
                </c:pt>
                <c:pt idx="11">
                  <c:v>1.0</c:v>
                </c:pt>
                <c:pt idx="12">
                  <c:v>11.0</c:v>
                </c:pt>
                <c:pt idx="13">
                  <c:v>1.0</c:v>
                </c:pt>
                <c:pt idx="14">
                  <c:v>1.0</c:v>
                </c:pt>
                <c:pt idx="15">
                  <c:v>4.0</c:v>
                </c:pt>
              </c:numCache>
            </c:numRef>
          </c:val>
        </c:ser>
        <c:ser>
          <c:idx val="1"/>
          <c:order val="1"/>
          <c:tx>
            <c:strRef>
              <c:f>node!$C$1</c:f>
              <c:strCache>
                <c:ptCount val="1"/>
                <c:pt idx="0">
                  <c:v>Network-Partition-based method</c:v>
                </c:pt>
              </c:strCache>
            </c:strRef>
          </c:tx>
          <c:spPr>
            <a:solidFill>
              <a:srgbClr val="7D7878"/>
            </a:solidFill>
            <a:ln w="15875" cap="rnd">
              <a:solidFill>
                <a:srgbClr val="000000"/>
              </a:solidFill>
              <a:round/>
            </a:ln>
            <a:effectLst/>
          </c:spPr>
          <c:invertIfNegative val="0"/>
          <c:cat>
            <c:strRef>
              <c:f>node!$A$14:$A$29</c:f>
              <c:strCache>
                <c:ptCount val="16"/>
                <c:pt idx="0">
                  <c:v>Oxford</c:v>
                </c:pt>
                <c:pt idx="1">
                  <c:v>Belnet2007</c:v>
                </c:pt>
                <c:pt idx="2">
                  <c:v>Fccn</c:v>
                </c:pt>
                <c:pt idx="3">
                  <c:v>Renater2001</c:v>
                </c:pt>
                <c:pt idx="4">
                  <c:v>AttMpls</c:v>
                </c:pt>
                <c:pt idx="5">
                  <c:v>Integra</c:v>
                </c:pt>
                <c:pt idx="6">
                  <c:v>Darkstrand</c:v>
                </c:pt>
                <c:pt idx="7">
                  <c:v>Arpanet19728</c:v>
                </c:pt>
                <c:pt idx="8">
                  <c:v>Digex</c:v>
                </c:pt>
                <c:pt idx="9">
                  <c:v>NetworkUsa</c:v>
                </c:pt>
                <c:pt idx="10">
                  <c:v>Geant2010</c:v>
                </c:pt>
                <c:pt idx="11">
                  <c:v>Palmetto</c:v>
                </c:pt>
                <c:pt idx="12">
                  <c:v>Bellcanada</c:v>
                </c:pt>
                <c:pt idx="13">
                  <c:v>Surfnet</c:v>
                </c:pt>
                <c:pt idx="14">
                  <c:v>Iris</c:v>
                </c:pt>
                <c:pt idx="15">
                  <c:v>Uninett2010</c:v>
                </c:pt>
              </c:strCache>
            </c:strRef>
          </c:cat>
          <c:val>
            <c:numRef>
              <c:f>node!$C$14:$C$29</c:f>
              <c:numCache>
                <c:formatCode>General</c:formatCode>
                <c:ptCount val="16"/>
                <c:pt idx="0">
                  <c:v>1.0</c:v>
                </c:pt>
                <c:pt idx="1">
                  <c:v>1.0</c:v>
                </c:pt>
                <c:pt idx="2">
                  <c:v>3.0</c:v>
                </c:pt>
                <c:pt idx="3">
                  <c:v>3.0</c:v>
                </c:pt>
                <c:pt idx="4">
                  <c:v>8.0</c:v>
                </c:pt>
                <c:pt idx="5">
                  <c:v>7.0</c:v>
                </c:pt>
                <c:pt idx="6">
                  <c:v>10.0</c:v>
                </c:pt>
                <c:pt idx="7">
                  <c:v>9.0</c:v>
                </c:pt>
                <c:pt idx="8">
                  <c:v>10.0</c:v>
                </c:pt>
                <c:pt idx="9">
                  <c:v>2.0</c:v>
                </c:pt>
                <c:pt idx="10">
                  <c:v>17.0</c:v>
                </c:pt>
                <c:pt idx="11">
                  <c:v>1.0</c:v>
                </c:pt>
                <c:pt idx="12">
                  <c:v>13.0</c:v>
                </c:pt>
                <c:pt idx="13">
                  <c:v>1.0</c:v>
                </c:pt>
                <c:pt idx="14">
                  <c:v>1.0</c:v>
                </c:pt>
                <c:pt idx="15">
                  <c:v>4.0</c:v>
                </c:pt>
              </c:numCache>
            </c:numRef>
          </c:val>
        </c:ser>
        <c:ser>
          <c:idx val="2"/>
          <c:order val="2"/>
          <c:tx>
            <c:strRef>
              <c:f>node!$D$1</c:f>
              <c:strCache>
                <c:ptCount val="1"/>
                <c:pt idx="0">
                  <c:v>Primal-Dual-based method</c:v>
                </c:pt>
              </c:strCache>
            </c:strRef>
          </c:tx>
          <c:spPr>
            <a:solidFill>
              <a:srgbClr val="B8043B"/>
            </a:solidFill>
            <a:ln w="15875" cap="rnd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node!$A$14:$A$29</c:f>
              <c:strCache>
                <c:ptCount val="16"/>
                <c:pt idx="0">
                  <c:v>Oxford</c:v>
                </c:pt>
                <c:pt idx="1">
                  <c:v>Belnet2007</c:v>
                </c:pt>
                <c:pt idx="2">
                  <c:v>Fccn</c:v>
                </c:pt>
                <c:pt idx="3">
                  <c:v>Renater2001</c:v>
                </c:pt>
                <c:pt idx="4">
                  <c:v>AttMpls</c:v>
                </c:pt>
                <c:pt idx="5">
                  <c:v>Integra</c:v>
                </c:pt>
                <c:pt idx="6">
                  <c:v>Darkstrand</c:v>
                </c:pt>
                <c:pt idx="7">
                  <c:v>Arpanet19728</c:v>
                </c:pt>
                <c:pt idx="8">
                  <c:v>Digex</c:v>
                </c:pt>
                <c:pt idx="9">
                  <c:v>NetworkUsa</c:v>
                </c:pt>
                <c:pt idx="10">
                  <c:v>Geant2010</c:v>
                </c:pt>
                <c:pt idx="11">
                  <c:v>Palmetto</c:v>
                </c:pt>
                <c:pt idx="12">
                  <c:v>Bellcanada</c:v>
                </c:pt>
                <c:pt idx="13">
                  <c:v>Surfnet</c:v>
                </c:pt>
                <c:pt idx="14">
                  <c:v>Iris</c:v>
                </c:pt>
                <c:pt idx="15">
                  <c:v>Uninett2010</c:v>
                </c:pt>
              </c:strCache>
            </c:strRef>
          </c:cat>
          <c:val>
            <c:numRef>
              <c:f>node!$D$14:$D$29</c:f>
              <c:numCache>
                <c:formatCode>General</c:formatCode>
                <c:ptCount val="16"/>
                <c:pt idx="0">
                  <c:v>1.0</c:v>
                </c:pt>
                <c:pt idx="1">
                  <c:v>1.0</c:v>
                </c:pt>
                <c:pt idx="2">
                  <c:v>3.0</c:v>
                </c:pt>
                <c:pt idx="3">
                  <c:v>2.0</c:v>
                </c:pt>
                <c:pt idx="4">
                  <c:v>7.0</c:v>
                </c:pt>
                <c:pt idx="5">
                  <c:v>10.0</c:v>
                </c:pt>
                <c:pt idx="6">
                  <c:v>10.0</c:v>
                </c:pt>
                <c:pt idx="7">
                  <c:v>9.0</c:v>
                </c:pt>
                <c:pt idx="8">
                  <c:v>10.0</c:v>
                </c:pt>
                <c:pt idx="9">
                  <c:v>2.0</c:v>
                </c:pt>
                <c:pt idx="10">
                  <c:v>14.0</c:v>
                </c:pt>
                <c:pt idx="11">
                  <c:v>1.0</c:v>
                </c:pt>
                <c:pt idx="12">
                  <c:v>13.0</c:v>
                </c:pt>
                <c:pt idx="13">
                  <c:v>1.0</c:v>
                </c:pt>
                <c:pt idx="14">
                  <c:v>1.0</c:v>
                </c:pt>
                <c:pt idx="15">
                  <c:v>4.0</c:v>
                </c:pt>
              </c:numCache>
            </c:numRef>
          </c:val>
        </c:ser>
        <c:ser>
          <c:idx val="3"/>
          <c:order val="3"/>
          <c:tx>
            <c:strRef>
              <c:f>node!$E$1</c:f>
              <c:strCache>
                <c:ptCount val="1"/>
                <c:pt idx="0">
                  <c:v>Number of Routers</c:v>
                </c:pt>
              </c:strCache>
            </c:strRef>
          </c:tx>
          <c:spPr>
            <a:solidFill>
              <a:srgbClr val="00006F"/>
            </a:solidFill>
            <a:ln w="15875" cap="rnd">
              <a:solidFill>
                <a:srgbClr val="000000"/>
              </a:solidFill>
              <a:round/>
            </a:ln>
            <a:effectLst/>
          </c:spPr>
          <c:invertIfNegative val="0"/>
          <c:cat>
            <c:strRef>
              <c:f>node!$A$14:$A$29</c:f>
              <c:strCache>
                <c:ptCount val="16"/>
                <c:pt idx="0">
                  <c:v>Oxford</c:v>
                </c:pt>
                <c:pt idx="1">
                  <c:v>Belnet2007</c:v>
                </c:pt>
                <c:pt idx="2">
                  <c:v>Fccn</c:v>
                </c:pt>
                <c:pt idx="3">
                  <c:v>Renater2001</c:v>
                </c:pt>
                <c:pt idx="4">
                  <c:v>AttMpls</c:v>
                </c:pt>
                <c:pt idx="5">
                  <c:v>Integra</c:v>
                </c:pt>
                <c:pt idx="6">
                  <c:v>Darkstrand</c:v>
                </c:pt>
                <c:pt idx="7">
                  <c:v>Arpanet19728</c:v>
                </c:pt>
                <c:pt idx="8">
                  <c:v>Digex</c:v>
                </c:pt>
                <c:pt idx="9">
                  <c:v>NetworkUsa</c:v>
                </c:pt>
                <c:pt idx="10">
                  <c:v>Geant2010</c:v>
                </c:pt>
                <c:pt idx="11">
                  <c:v>Palmetto</c:v>
                </c:pt>
                <c:pt idx="12">
                  <c:v>Bellcanada</c:v>
                </c:pt>
                <c:pt idx="13">
                  <c:v>Surfnet</c:v>
                </c:pt>
                <c:pt idx="14">
                  <c:v>Iris</c:v>
                </c:pt>
                <c:pt idx="15">
                  <c:v>Uninett2010</c:v>
                </c:pt>
              </c:strCache>
            </c:strRef>
          </c:cat>
          <c:val>
            <c:numRef>
              <c:f>node!$E$14:$E$29</c:f>
              <c:numCache>
                <c:formatCode>General</c:formatCode>
                <c:ptCount val="16"/>
                <c:pt idx="0">
                  <c:v>20.0</c:v>
                </c:pt>
                <c:pt idx="1">
                  <c:v>21.0</c:v>
                </c:pt>
                <c:pt idx="2">
                  <c:v>23.0</c:v>
                </c:pt>
                <c:pt idx="3">
                  <c:v>24.0</c:v>
                </c:pt>
                <c:pt idx="4">
                  <c:v>25.0</c:v>
                </c:pt>
                <c:pt idx="5">
                  <c:v>27.0</c:v>
                </c:pt>
                <c:pt idx="6">
                  <c:v>28.0</c:v>
                </c:pt>
                <c:pt idx="7">
                  <c:v>29.0</c:v>
                </c:pt>
                <c:pt idx="8">
                  <c:v>31.0</c:v>
                </c:pt>
                <c:pt idx="9">
                  <c:v>35.0</c:v>
                </c:pt>
                <c:pt idx="10">
                  <c:v>37.0</c:v>
                </c:pt>
                <c:pt idx="11">
                  <c:v>45.0</c:v>
                </c:pt>
                <c:pt idx="12">
                  <c:v>48.0</c:v>
                </c:pt>
                <c:pt idx="13">
                  <c:v>50.0</c:v>
                </c:pt>
                <c:pt idx="14">
                  <c:v>51.0</c:v>
                </c:pt>
                <c:pt idx="15">
                  <c:v>74.0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2746024"/>
        <c:axId val="2102740104"/>
      </c:barChart>
      <c:catAx>
        <c:axId val="21027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20" normalizeH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102740104"/>
        <c:crosses val="autoZero"/>
        <c:auto val="1"/>
        <c:lblAlgn val="ctr"/>
        <c:lblOffset val="100"/>
        <c:noMultiLvlLbl val="0"/>
      </c:catAx>
      <c:valAx>
        <c:axId val="2102740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102746024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0611723433180354"/>
          <c:y val="0.138784484223645"/>
          <c:w val="0.355387907044644"/>
          <c:h val="0.258548971846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ratio!$G$1</c:f>
              <c:strCache>
                <c:ptCount val="1"/>
                <c:pt idx="0">
                  <c:v>Percentage of controllers less than Incremental greedy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diamond"/>
            <c:size val="9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ratio!$F$23:$F$60</c:f>
              <c:strCache>
                <c:ptCount val="38"/>
                <c:pt idx="0">
                  <c:v>KentmanJul2005</c:v>
                </c:pt>
                <c:pt idx="1">
                  <c:v>Garr199901</c:v>
                </c:pt>
                <c:pt idx="2">
                  <c:v>HostwayInternational</c:v>
                </c:pt>
                <c:pt idx="3">
                  <c:v>Peer1</c:v>
                </c:pt>
                <c:pt idx="4">
                  <c:v>Goodnet</c:v>
                </c:pt>
                <c:pt idx="5">
                  <c:v>Sago</c:v>
                </c:pt>
                <c:pt idx="6">
                  <c:v>Arpanet19719</c:v>
                </c:pt>
                <c:pt idx="7">
                  <c:v>Ibm</c:v>
                </c:pt>
                <c:pt idx="8">
                  <c:v>Ans</c:v>
                </c:pt>
                <c:pt idx="9">
                  <c:v>Highwinds</c:v>
                </c:pt>
                <c:pt idx="10">
                  <c:v>Noel</c:v>
                </c:pt>
                <c:pt idx="11">
                  <c:v>Aarnet</c:v>
                </c:pt>
                <c:pt idx="12">
                  <c:v>Savvis</c:v>
                </c:pt>
                <c:pt idx="13">
                  <c:v>Internetmci</c:v>
                </c:pt>
                <c:pt idx="14">
                  <c:v>Rediris</c:v>
                </c:pt>
                <c:pt idx="15">
                  <c:v>EliBackbone</c:v>
                </c:pt>
                <c:pt idx="16">
                  <c:v>Oxford</c:v>
                </c:pt>
                <c:pt idx="17">
                  <c:v>Quest</c:v>
                </c:pt>
                <c:pt idx="18">
                  <c:v>Belnet2009</c:v>
                </c:pt>
                <c:pt idx="19">
                  <c:v>Belnet2008</c:v>
                </c:pt>
                <c:pt idx="20">
                  <c:v>Belnet2007</c:v>
                </c:pt>
                <c:pt idx="21">
                  <c:v>Atmnet</c:v>
                </c:pt>
                <c:pt idx="22">
                  <c:v>Packetexchange</c:v>
                </c:pt>
                <c:pt idx="23">
                  <c:v>York</c:v>
                </c:pt>
                <c:pt idx="24">
                  <c:v>Fccn</c:v>
                </c:pt>
                <c:pt idx="25">
                  <c:v>Psinet</c:v>
                </c:pt>
                <c:pt idx="26">
                  <c:v>Xeex</c:v>
                </c:pt>
                <c:pt idx="27">
                  <c:v>HurricaneElectric</c:v>
                </c:pt>
                <c:pt idx="28">
                  <c:v>Renater2001</c:v>
                </c:pt>
                <c:pt idx="29">
                  <c:v>Renater1999</c:v>
                </c:pt>
                <c:pt idx="30">
                  <c:v>AttMpls</c:v>
                </c:pt>
                <c:pt idx="31">
                  <c:v>Agis</c:v>
                </c:pt>
                <c:pt idx="32">
                  <c:v>Arpanet19723</c:v>
                </c:pt>
                <c:pt idx="33">
                  <c:v>Geant2001</c:v>
                </c:pt>
                <c:pt idx="34">
                  <c:v>Bbnplanet</c:v>
                </c:pt>
                <c:pt idx="35">
                  <c:v>Integra</c:v>
                </c:pt>
                <c:pt idx="36">
                  <c:v>Darkstrand</c:v>
                </c:pt>
                <c:pt idx="37">
                  <c:v>Arpanet19728</c:v>
                </c:pt>
              </c:strCache>
            </c:strRef>
          </c:cat>
          <c:val>
            <c:numRef>
              <c:f>ratio!$G$23:$G$60</c:f>
              <c:numCache>
                <c:formatCode>0%</c:formatCode>
                <c:ptCount val="38"/>
                <c:pt idx="0">
                  <c:v>0.5</c:v>
                </c:pt>
                <c:pt idx="1">
                  <c:v>0.555555555555556</c:v>
                </c:pt>
                <c:pt idx="2">
                  <c:v>0.666666666666667</c:v>
                </c:pt>
                <c:pt idx="3">
                  <c:v>0.6</c:v>
                </c:pt>
                <c:pt idx="4">
                  <c:v>0.7</c:v>
                </c:pt>
                <c:pt idx="5">
                  <c:v>0.4</c:v>
                </c:pt>
                <c:pt idx="6">
                  <c:v>0.5</c:v>
                </c:pt>
                <c:pt idx="7">
                  <c:v>0.625</c:v>
                </c:pt>
                <c:pt idx="8">
                  <c:v>0.777777777777778</c:v>
                </c:pt>
                <c:pt idx="9">
                  <c:v>0.777777777777778</c:v>
                </c:pt>
                <c:pt idx="10">
                  <c:v>0.666666666666667</c:v>
                </c:pt>
                <c:pt idx="11">
                  <c:v>0.714285714285714</c:v>
                </c:pt>
                <c:pt idx="12">
                  <c:v>0.714285714285714</c:v>
                </c:pt>
                <c:pt idx="13">
                  <c:v>0.375</c:v>
                </c:pt>
                <c:pt idx="14">
                  <c:v>0.866666666666667</c:v>
                </c:pt>
                <c:pt idx="15">
                  <c:v>0.714285714285714</c:v>
                </c:pt>
                <c:pt idx="16">
                  <c:v>0.714285714285714</c:v>
                </c:pt>
                <c:pt idx="17">
                  <c:v>0.461538461538462</c:v>
                </c:pt>
                <c:pt idx="18">
                  <c:v>0.4</c:v>
                </c:pt>
                <c:pt idx="19">
                  <c:v>0.5</c:v>
                </c:pt>
                <c:pt idx="20">
                  <c:v>0.714285714285714</c:v>
                </c:pt>
                <c:pt idx="21">
                  <c:v>0.75</c:v>
                </c:pt>
                <c:pt idx="22">
                  <c:v>0.538461538461538</c:v>
                </c:pt>
                <c:pt idx="23">
                  <c:v>0.5</c:v>
                </c:pt>
                <c:pt idx="24">
                  <c:v>0.777777777777778</c:v>
                </c:pt>
                <c:pt idx="25">
                  <c:v>0.375</c:v>
                </c:pt>
                <c:pt idx="26">
                  <c:v>0.727272727272727</c:v>
                </c:pt>
                <c:pt idx="27">
                  <c:v>0.5</c:v>
                </c:pt>
                <c:pt idx="28">
                  <c:v>0.583333333333333</c:v>
                </c:pt>
                <c:pt idx="29">
                  <c:v>0.714285714285714</c:v>
                </c:pt>
                <c:pt idx="30">
                  <c:v>0.571428571428571</c:v>
                </c:pt>
                <c:pt idx="31">
                  <c:v>0.7</c:v>
                </c:pt>
                <c:pt idx="32">
                  <c:v>0.7</c:v>
                </c:pt>
                <c:pt idx="33">
                  <c:v>0.363636363636364</c:v>
                </c:pt>
                <c:pt idx="34">
                  <c:v>0.8125</c:v>
                </c:pt>
                <c:pt idx="35">
                  <c:v>0.473684210526316</c:v>
                </c:pt>
                <c:pt idx="36">
                  <c:v>0.625</c:v>
                </c:pt>
                <c:pt idx="37">
                  <c:v>0.538461538461538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ratio!$H$1</c:f>
              <c:strCache>
                <c:ptCount val="1"/>
                <c:pt idx="0">
                  <c:v>Percentage of controllers less than Network-partitioned-based method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ratio!$F$23:$F$60</c:f>
              <c:strCache>
                <c:ptCount val="38"/>
                <c:pt idx="0">
                  <c:v>KentmanJul2005</c:v>
                </c:pt>
                <c:pt idx="1">
                  <c:v>Garr199901</c:v>
                </c:pt>
                <c:pt idx="2">
                  <c:v>HostwayInternational</c:v>
                </c:pt>
                <c:pt idx="3">
                  <c:v>Peer1</c:v>
                </c:pt>
                <c:pt idx="4">
                  <c:v>Goodnet</c:v>
                </c:pt>
                <c:pt idx="5">
                  <c:v>Sago</c:v>
                </c:pt>
                <c:pt idx="6">
                  <c:v>Arpanet19719</c:v>
                </c:pt>
                <c:pt idx="7">
                  <c:v>Ibm</c:v>
                </c:pt>
                <c:pt idx="8">
                  <c:v>Ans</c:v>
                </c:pt>
                <c:pt idx="9">
                  <c:v>Highwinds</c:v>
                </c:pt>
                <c:pt idx="10">
                  <c:v>Noel</c:v>
                </c:pt>
                <c:pt idx="11">
                  <c:v>Aarnet</c:v>
                </c:pt>
                <c:pt idx="12">
                  <c:v>Savvis</c:v>
                </c:pt>
                <c:pt idx="13">
                  <c:v>Internetmci</c:v>
                </c:pt>
                <c:pt idx="14">
                  <c:v>Rediris</c:v>
                </c:pt>
                <c:pt idx="15">
                  <c:v>EliBackbone</c:v>
                </c:pt>
                <c:pt idx="16">
                  <c:v>Oxford</c:v>
                </c:pt>
                <c:pt idx="17">
                  <c:v>Quest</c:v>
                </c:pt>
                <c:pt idx="18">
                  <c:v>Belnet2009</c:v>
                </c:pt>
                <c:pt idx="19">
                  <c:v>Belnet2008</c:v>
                </c:pt>
                <c:pt idx="20">
                  <c:v>Belnet2007</c:v>
                </c:pt>
                <c:pt idx="21">
                  <c:v>Atmnet</c:v>
                </c:pt>
                <c:pt idx="22">
                  <c:v>Packetexchange</c:v>
                </c:pt>
                <c:pt idx="23">
                  <c:v>York</c:v>
                </c:pt>
                <c:pt idx="24">
                  <c:v>Fccn</c:v>
                </c:pt>
                <c:pt idx="25">
                  <c:v>Psinet</c:v>
                </c:pt>
                <c:pt idx="26">
                  <c:v>Xeex</c:v>
                </c:pt>
                <c:pt idx="27">
                  <c:v>HurricaneElectric</c:v>
                </c:pt>
                <c:pt idx="28">
                  <c:v>Renater2001</c:v>
                </c:pt>
                <c:pt idx="29">
                  <c:v>Renater1999</c:v>
                </c:pt>
                <c:pt idx="30">
                  <c:v>AttMpls</c:v>
                </c:pt>
                <c:pt idx="31">
                  <c:v>Agis</c:v>
                </c:pt>
                <c:pt idx="32">
                  <c:v>Arpanet19723</c:v>
                </c:pt>
                <c:pt idx="33">
                  <c:v>Geant2001</c:v>
                </c:pt>
                <c:pt idx="34">
                  <c:v>Bbnplanet</c:v>
                </c:pt>
                <c:pt idx="35">
                  <c:v>Integra</c:v>
                </c:pt>
                <c:pt idx="36">
                  <c:v>Darkstrand</c:v>
                </c:pt>
                <c:pt idx="37">
                  <c:v>Arpanet19728</c:v>
                </c:pt>
              </c:strCache>
            </c:strRef>
          </c:cat>
          <c:val>
            <c:numRef>
              <c:f>ratio!$H$23:$H$60</c:f>
              <c:numCache>
                <c:formatCode>0%</c:formatCode>
                <c:ptCount val="38"/>
                <c:pt idx="0">
                  <c:v>0.555555555555556</c:v>
                </c:pt>
                <c:pt idx="1">
                  <c:v>0.636363636363636</c:v>
                </c:pt>
                <c:pt idx="2">
                  <c:v>0.666666666666667</c:v>
                </c:pt>
                <c:pt idx="3">
                  <c:v>0.636363636363636</c:v>
                </c:pt>
                <c:pt idx="4">
                  <c:v>0.727272727272727</c:v>
                </c:pt>
                <c:pt idx="5">
                  <c:v>0.7</c:v>
                </c:pt>
                <c:pt idx="6">
                  <c:v>0.571428571428571</c:v>
                </c:pt>
                <c:pt idx="7">
                  <c:v>0.727272727272727</c:v>
                </c:pt>
                <c:pt idx="8">
                  <c:v>0.833333333333333</c:v>
                </c:pt>
                <c:pt idx="9">
                  <c:v>0.666666666666667</c:v>
                </c:pt>
                <c:pt idx="10">
                  <c:v>0.714285714285714</c:v>
                </c:pt>
                <c:pt idx="11">
                  <c:v>0.8</c:v>
                </c:pt>
                <c:pt idx="12">
                  <c:v>0.75</c:v>
                </c:pt>
                <c:pt idx="13">
                  <c:v>0.666666666666667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0.461538461538462</c:v>
                </c:pt>
                <c:pt idx="18">
                  <c:v>0.7</c:v>
                </c:pt>
                <c:pt idx="19">
                  <c:v>0.7</c:v>
                </c:pt>
                <c:pt idx="20">
                  <c:v>0.714285714285714</c:v>
                </c:pt>
                <c:pt idx="21">
                  <c:v>0.6</c:v>
                </c:pt>
                <c:pt idx="22">
                  <c:v>0.571428571428571</c:v>
                </c:pt>
                <c:pt idx="23">
                  <c:v>0.75</c:v>
                </c:pt>
                <c:pt idx="24">
                  <c:v>0.666666666666667</c:v>
                </c:pt>
                <c:pt idx="25">
                  <c:v>0.615384615384615</c:v>
                </c:pt>
                <c:pt idx="26">
                  <c:v>0.75</c:v>
                </c:pt>
                <c:pt idx="27">
                  <c:v>0.666666666666667</c:v>
                </c:pt>
                <c:pt idx="28">
                  <c:v>0.722222222222222</c:v>
                </c:pt>
                <c:pt idx="29">
                  <c:v>0.692307692307692</c:v>
                </c:pt>
                <c:pt idx="30">
                  <c:v>0.727272727272727</c:v>
                </c:pt>
                <c:pt idx="31">
                  <c:v>0.7</c:v>
                </c:pt>
                <c:pt idx="32">
                  <c:v>0.625</c:v>
                </c:pt>
                <c:pt idx="33">
                  <c:v>0.588235294117647</c:v>
                </c:pt>
                <c:pt idx="34">
                  <c:v>0.8</c:v>
                </c:pt>
                <c:pt idx="35">
                  <c:v>0.545454545454545</c:v>
                </c:pt>
                <c:pt idx="36">
                  <c:v>0.7</c:v>
                </c:pt>
                <c:pt idx="37">
                  <c:v>0.538461538461538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680184"/>
        <c:axId val="2102674808"/>
      </c:lineChart>
      <c:catAx>
        <c:axId val="2102680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200" b="1">
                <a:solidFill>
                  <a:schemeClr val="tx1"/>
                </a:solidFill>
                <a:latin typeface="Times New Roman"/>
                <a:cs typeface="Times New Roman"/>
              </a:defRPr>
            </a:pPr>
            <a:endParaRPr lang="en-US"/>
          </a:p>
        </c:txPr>
        <c:crossAx val="2102674808"/>
        <c:crosses val="autoZero"/>
        <c:auto val="1"/>
        <c:lblAlgn val="ctr"/>
        <c:lblOffset val="100"/>
        <c:noMultiLvlLbl val="0"/>
      </c:catAx>
      <c:valAx>
        <c:axId val="210267480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/>
          <a:lstStyle/>
          <a:p>
            <a:pPr>
              <a:defRPr sz="1600" b="1">
                <a:latin typeface="Times New Roman"/>
                <a:cs typeface="Times New Roman"/>
              </a:defRPr>
            </a:pPr>
            <a:endParaRPr lang="en-US"/>
          </a:p>
        </c:txPr>
        <c:crossAx val="2102680184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0737272102732125"/>
          <c:y val="0.553809969218211"/>
          <c:w val="0.539738604103059"/>
          <c:h val="0.156035364000553"/>
        </c:manualLayout>
      </c:layout>
      <c:overlay val="0"/>
      <c:txPr>
        <a:bodyPr/>
        <a:lstStyle/>
        <a:p>
          <a:pPr>
            <a:defRPr sz="1400" b="1">
              <a:solidFill>
                <a:srgbClr val="000000"/>
              </a:solidFill>
              <a:latin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 paperSize="0" orientation="portrait" horizontalDpi="-4" vertic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ratio!$G$1</c:f>
              <c:strCache>
                <c:ptCount val="1"/>
                <c:pt idx="0">
                  <c:v>Percentage of controllers less than Incremental greedy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diamond"/>
            <c:size val="9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ratio!$F$61:$F$71</c:f>
              <c:strCache>
                <c:ptCount val="11"/>
                <c:pt idx="0">
                  <c:v>Digex</c:v>
                </c:pt>
                <c:pt idx="1">
                  <c:v>Arnes</c:v>
                </c:pt>
                <c:pt idx="2">
                  <c:v>Xspedius</c:v>
                </c:pt>
                <c:pt idx="3">
                  <c:v>Geant2009</c:v>
                </c:pt>
                <c:pt idx="4">
                  <c:v>NetworkUsa</c:v>
                </c:pt>
                <c:pt idx="5">
                  <c:v>Geant2010</c:v>
                </c:pt>
                <c:pt idx="6">
                  <c:v>Palmetto</c:v>
                </c:pt>
                <c:pt idx="7">
                  <c:v>Bellcanada</c:v>
                </c:pt>
                <c:pt idx="8">
                  <c:v>Surfnet</c:v>
                </c:pt>
                <c:pt idx="9">
                  <c:v>Iris</c:v>
                </c:pt>
                <c:pt idx="10">
                  <c:v>Uninett2010</c:v>
                </c:pt>
              </c:strCache>
            </c:strRef>
          </c:cat>
          <c:val>
            <c:numRef>
              <c:f>ratio!$G$61:$G$71</c:f>
              <c:numCache>
                <c:formatCode>0%</c:formatCode>
                <c:ptCount val="11"/>
                <c:pt idx="0">
                  <c:v>0.625</c:v>
                </c:pt>
                <c:pt idx="1">
                  <c:v>0.4</c:v>
                </c:pt>
                <c:pt idx="2">
                  <c:v>0.5</c:v>
                </c:pt>
                <c:pt idx="3">
                  <c:v>0.785714285714286</c:v>
                </c:pt>
                <c:pt idx="4">
                  <c:v>0.7</c:v>
                </c:pt>
                <c:pt idx="5">
                  <c:v>0.642857142857143</c:v>
                </c:pt>
                <c:pt idx="6">
                  <c:v>0.625</c:v>
                </c:pt>
                <c:pt idx="7">
                  <c:v>0.434782608695652</c:v>
                </c:pt>
                <c:pt idx="8">
                  <c:v>0.6</c:v>
                </c:pt>
                <c:pt idx="9">
                  <c:v>0.5</c:v>
                </c:pt>
                <c:pt idx="10">
                  <c:v>0.558823529411765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ratio!$H$1</c:f>
              <c:strCache>
                <c:ptCount val="1"/>
                <c:pt idx="0">
                  <c:v>Percentage of controllers less than Network-partitioned-based method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ratio!$F$61:$F$71</c:f>
              <c:strCache>
                <c:ptCount val="11"/>
                <c:pt idx="0">
                  <c:v>Digex</c:v>
                </c:pt>
                <c:pt idx="1">
                  <c:v>Arnes</c:v>
                </c:pt>
                <c:pt idx="2">
                  <c:v>Xspedius</c:v>
                </c:pt>
                <c:pt idx="3">
                  <c:v>Geant2009</c:v>
                </c:pt>
                <c:pt idx="4">
                  <c:v>NetworkUsa</c:v>
                </c:pt>
                <c:pt idx="5">
                  <c:v>Geant2010</c:v>
                </c:pt>
                <c:pt idx="6">
                  <c:v>Palmetto</c:v>
                </c:pt>
                <c:pt idx="7">
                  <c:v>Bellcanada</c:v>
                </c:pt>
                <c:pt idx="8">
                  <c:v>Surfnet</c:v>
                </c:pt>
                <c:pt idx="9">
                  <c:v>Iris</c:v>
                </c:pt>
                <c:pt idx="10">
                  <c:v>Uninett2010</c:v>
                </c:pt>
              </c:strCache>
            </c:strRef>
          </c:cat>
          <c:val>
            <c:numRef>
              <c:f>ratio!$H$61:$H$71</c:f>
              <c:numCache>
                <c:formatCode>0%</c:formatCode>
                <c:ptCount val="11"/>
                <c:pt idx="0">
                  <c:v>0.7</c:v>
                </c:pt>
                <c:pt idx="1">
                  <c:v>0.571428571428571</c:v>
                </c:pt>
                <c:pt idx="2">
                  <c:v>0.705882352941176</c:v>
                </c:pt>
                <c:pt idx="3">
                  <c:v>0.727272727272727</c:v>
                </c:pt>
                <c:pt idx="4">
                  <c:v>0.75</c:v>
                </c:pt>
                <c:pt idx="5">
                  <c:v>0.705882352941176</c:v>
                </c:pt>
                <c:pt idx="6">
                  <c:v>0.666666666666667</c:v>
                </c:pt>
                <c:pt idx="7">
                  <c:v>0.434782608695652</c:v>
                </c:pt>
                <c:pt idx="8">
                  <c:v>0.733333333333333</c:v>
                </c:pt>
                <c:pt idx="9">
                  <c:v>0.555555555555556</c:v>
                </c:pt>
                <c:pt idx="10">
                  <c:v>0.634146341463415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632920"/>
        <c:axId val="2102627768"/>
      </c:lineChart>
      <c:catAx>
        <c:axId val="2102632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200" b="1">
                <a:solidFill>
                  <a:schemeClr val="tx1"/>
                </a:solidFill>
                <a:latin typeface="Times New Roman"/>
                <a:cs typeface="Times New Roman"/>
              </a:defRPr>
            </a:pPr>
            <a:endParaRPr lang="en-US"/>
          </a:p>
        </c:txPr>
        <c:crossAx val="2102627768"/>
        <c:crosses val="autoZero"/>
        <c:auto val="1"/>
        <c:lblAlgn val="ctr"/>
        <c:lblOffset val="100"/>
        <c:noMultiLvlLbl val="0"/>
      </c:catAx>
      <c:valAx>
        <c:axId val="210262776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/>
          <a:lstStyle/>
          <a:p>
            <a:pPr>
              <a:defRPr sz="1600" b="1">
                <a:latin typeface="Times New Roman"/>
                <a:cs typeface="Times New Roman"/>
              </a:defRPr>
            </a:pPr>
            <a:endParaRPr lang="en-US"/>
          </a:p>
        </c:txPr>
        <c:crossAx val="210263292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0771285732140625"/>
          <c:y val="0.676616936040889"/>
          <c:w val="0.634246940396818"/>
          <c:h val="0.156035364000553"/>
        </c:manualLayout>
      </c:layout>
      <c:overlay val="0"/>
      <c:txPr>
        <a:bodyPr/>
        <a:lstStyle/>
        <a:p>
          <a:pPr>
            <a:defRPr sz="1400" b="1">
              <a:solidFill>
                <a:srgbClr val="000000"/>
              </a:solidFill>
              <a:latin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 paperSize="0" orientation="portrait" horizontalDpi="-4" verticalDpi="-4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ratio!$G$1</c:f>
              <c:strCache>
                <c:ptCount val="1"/>
                <c:pt idx="0">
                  <c:v>Percentage of controllers less than Incremental greedy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diamond"/>
            <c:size val="9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ratio!$F$2:$F$22</c:f>
              <c:strCache>
                <c:ptCount val="21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</c:strCache>
            </c:strRef>
          </c:cat>
          <c:val>
            <c:numRef>
              <c:f>ratio!$G$2:$G$22</c:f>
              <c:numCache>
                <c:formatCode>0%</c:formatCode>
                <c:ptCount val="21"/>
                <c:pt idx="0">
                  <c:v>0.666666666666667</c:v>
                </c:pt>
                <c:pt idx="1">
                  <c:v>0.666666666666667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0.6</c:v>
                </c:pt>
                <c:pt idx="6">
                  <c:v>0.8</c:v>
                </c:pt>
                <c:pt idx="7">
                  <c:v>0.75</c:v>
                </c:pt>
                <c:pt idx="8">
                  <c:v>0.75</c:v>
                </c:pt>
                <c:pt idx="9">
                  <c:v>0.8</c:v>
                </c:pt>
                <c:pt idx="10">
                  <c:v>0.5</c:v>
                </c:pt>
                <c:pt idx="11">
                  <c:v>0.5</c:v>
                </c:pt>
                <c:pt idx="12">
                  <c:v>0.666666666666667</c:v>
                </c:pt>
                <c:pt idx="13">
                  <c:v>0.6</c:v>
                </c:pt>
                <c:pt idx="14">
                  <c:v>0.714285714285714</c:v>
                </c:pt>
                <c:pt idx="15">
                  <c:v>0.666666666666667</c:v>
                </c:pt>
                <c:pt idx="16">
                  <c:v>0.833333333333333</c:v>
                </c:pt>
                <c:pt idx="17">
                  <c:v>0.714285714285714</c:v>
                </c:pt>
                <c:pt idx="18">
                  <c:v>0.666666666666667</c:v>
                </c:pt>
                <c:pt idx="19">
                  <c:v>0.714285714285714</c:v>
                </c:pt>
                <c:pt idx="20">
                  <c:v>0.75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ratio!$H$1</c:f>
              <c:strCache>
                <c:ptCount val="1"/>
                <c:pt idx="0">
                  <c:v>Percentage of controllers less than Network-partitioned-based method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ratio!$F$2:$F$22</c:f>
              <c:strCache>
                <c:ptCount val="21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</c:strCache>
            </c:strRef>
          </c:cat>
          <c:val>
            <c:numRef>
              <c:f>ratio!$H$2:$H$22</c:f>
              <c:numCache>
                <c:formatCode>0%</c:formatCode>
                <c:ptCount val="21"/>
                <c:pt idx="0">
                  <c:v>0.666666666666667</c:v>
                </c:pt>
                <c:pt idx="1">
                  <c:v>0.75</c:v>
                </c:pt>
                <c:pt idx="2">
                  <c:v>0.8</c:v>
                </c:pt>
                <c:pt idx="3">
                  <c:v>0.8</c:v>
                </c:pt>
                <c:pt idx="4">
                  <c:v>0.75</c:v>
                </c:pt>
                <c:pt idx="5">
                  <c:v>0.6</c:v>
                </c:pt>
                <c:pt idx="6">
                  <c:v>0.666666666666667</c:v>
                </c:pt>
                <c:pt idx="7">
                  <c:v>0.75</c:v>
                </c:pt>
                <c:pt idx="8">
                  <c:v>0.75</c:v>
                </c:pt>
                <c:pt idx="9">
                  <c:v>0.8</c:v>
                </c:pt>
                <c:pt idx="10">
                  <c:v>0.5</c:v>
                </c:pt>
                <c:pt idx="11">
                  <c:v>0.75</c:v>
                </c:pt>
                <c:pt idx="12">
                  <c:v>0.666666666666667</c:v>
                </c:pt>
                <c:pt idx="13">
                  <c:v>0.714285714285714</c:v>
                </c:pt>
                <c:pt idx="14">
                  <c:v>0.6</c:v>
                </c:pt>
                <c:pt idx="15">
                  <c:v>0.75</c:v>
                </c:pt>
                <c:pt idx="16">
                  <c:v>0.875</c:v>
                </c:pt>
                <c:pt idx="17">
                  <c:v>0.75</c:v>
                </c:pt>
                <c:pt idx="18">
                  <c:v>0.75</c:v>
                </c:pt>
                <c:pt idx="19">
                  <c:v>0.714285714285714</c:v>
                </c:pt>
                <c:pt idx="20">
                  <c:v>0.777777777777778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585656"/>
        <c:axId val="2102580344"/>
      </c:lineChart>
      <c:catAx>
        <c:axId val="2102585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400" b="1">
                <a:solidFill>
                  <a:schemeClr val="tx1"/>
                </a:solidFill>
                <a:latin typeface="Times New Roman"/>
                <a:cs typeface="Times New Roman"/>
              </a:defRPr>
            </a:pPr>
            <a:endParaRPr lang="en-US"/>
          </a:p>
        </c:txPr>
        <c:crossAx val="2102580344"/>
        <c:crosses val="autoZero"/>
        <c:auto val="1"/>
        <c:lblAlgn val="ctr"/>
        <c:lblOffset val="100"/>
        <c:noMultiLvlLbl val="0"/>
      </c:catAx>
      <c:valAx>
        <c:axId val="2102580344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/>
          <a:lstStyle/>
          <a:p>
            <a:pPr>
              <a:defRPr sz="1600" b="1">
                <a:latin typeface="Times New Roman"/>
                <a:cs typeface="Times New Roman"/>
              </a:defRPr>
            </a:pPr>
            <a:endParaRPr lang="en-US"/>
          </a:p>
        </c:txPr>
        <c:crossAx val="2102585656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0805207107732223"/>
          <c:y val="0.574485272674249"/>
          <c:w val="0.620198409106908"/>
          <c:h val="0.156035364000553"/>
        </c:manualLayout>
      </c:layout>
      <c:overlay val="0"/>
      <c:txPr>
        <a:bodyPr/>
        <a:lstStyle/>
        <a:p>
          <a:pPr>
            <a:defRPr sz="1400" b="1">
              <a:solidFill>
                <a:srgbClr val="000000"/>
              </a:solidFill>
              <a:latin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 paperSize="0" orientation="portrait" horizontalDpi="-4" verticalDpi="-4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5"/>
    </mc:Choice>
    <mc:Fallback>
      <c:style val="25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Incremental greedy</c:v>
                </c:pt>
              </c:strCache>
            </c:strRef>
          </c:tx>
          <c:val>
            <c:numRef>
              <c:f>Sheet1!$B$2:$B$10</c:f>
              <c:numCache>
                <c:formatCode>General</c:formatCode>
                <c:ptCount val="9"/>
                <c:pt idx="0">
                  <c:v>16.0</c:v>
                </c:pt>
                <c:pt idx="1">
                  <c:v>9.0</c:v>
                </c:pt>
                <c:pt idx="2">
                  <c:v>7.0</c:v>
                </c:pt>
                <c:pt idx="3">
                  <c:v>4.0</c:v>
                </c:pt>
                <c:pt idx="4">
                  <c:v>4.0</c:v>
                </c:pt>
                <c:pt idx="5">
                  <c:v>4.0</c:v>
                </c:pt>
                <c:pt idx="6">
                  <c:v>3.0</c:v>
                </c:pt>
                <c:pt idx="7">
                  <c:v>2.0</c:v>
                </c:pt>
                <c:pt idx="8">
                  <c:v>1.0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Network-Partition-based method</c:v>
                </c:pt>
              </c:strCache>
            </c:strRef>
          </c:tx>
          <c:val>
            <c:numRef>
              <c:f>Sheet1!$D$2:$D$10</c:f>
              <c:numCache>
                <c:formatCode>General</c:formatCode>
                <c:ptCount val="9"/>
                <c:pt idx="0">
                  <c:v>19.0</c:v>
                </c:pt>
                <c:pt idx="1">
                  <c:v>12.0</c:v>
                </c:pt>
                <c:pt idx="2">
                  <c:v>9.0</c:v>
                </c:pt>
                <c:pt idx="3">
                  <c:v>5.0</c:v>
                </c:pt>
                <c:pt idx="4">
                  <c:v>4.0</c:v>
                </c:pt>
                <c:pt idx="5">
                  <c:v>4.0</c:v>
                </c:pt>
                <c:pt idx="6">
                  <c:v>4.0</c:v>
                </c:pt>
                <c:pt idx="7">
                  <c:v>2.0</c:v>
                </c:pt>
                <c:pt idx="8">
                  <c:v>1.0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Primal-Dual-based method</c:v>
                </c:pt>
              </c:strCache>
            </c:strRef>
          </c:tx>
          <c:val>
            <c:numRef>
              <c:f>Sheet1!$C$2:$C$10</c:f>
              <c:numCache>
                <c:formatCode>General</c:formatCode>
                <c:ptCount val="9"/>
                <c:pt idx="0">
                  <c:v>19.0</c:v>
                </c:pt>
                <c:pt idx="1">
                  <c:v>11.0</c:v>
                </c:pt>
                <c:pt idx="2">
                  <c:v>9.0</c:v>
                </c:pt>
                <c:pt idx="3">
                  <c:v>7.0</c:v>
                </c:pt>
                <c:pt idx="4">
                  <c:v>4.0</c:v>
                </c:pt>
                <c:pt idx="5">
                  <c:v>3.0</c:v>
                </c:pt>
                <c:pt idx="6">
                  <c:v>3.0</c:v>
                </c:pt>
                <c:pt idx="7">
                  <c:v>3.0</c:v>
                </c:pt>
                <c:pt idx="8">
                  <c:v>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537768"/>
        <c:axId val="2102530312"/>
      </c:lineChart>
      <c:catAx>
        <c:axId val="2102537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cs typeface="Times New Roman"/>
                  </a:defRPr>
                </a:pPr>
                <a:r>
                  <a:rPr lang="en-US" sz="1400">
                    <a:latin typeface="Times New Roman"/>
                    <a:cs typeface="Times New Roman"/>
                  </a:rPr>
                  <a:t>Delay</a:t>
                </a:r>
                <a:r>
                  <a:rPr lang="en-US" sz="1400" baseline="0">
                    <a:latin typeface="Times New Roman"/>
                    <a:cs typeface="Times New Roman"/>
                  </a:rPr>
                  <a:t> (milliseconds)</a:t>
                </a:r>
                <a:endParaRPr lang="en-US" sz="1400">
                  <a:latin typeface="Times New Roman"/>
                  <a:cs typeface="Times New Roman"/>
                </a:endParaRP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800" b="1">
                <a:latin typeface="Times New Roman"/>
                <a:cs typeface="Times New Roman"/>
              </a:defRPr>
            </a:pPr>
            <a:endParaRPr lang="en-US"/>
          </a:p>
        </c:txPr>
        <c:crossAx val="2102530312"/>
        <c:crosses val="autoZero"/>
        <c:auto val="1"/>
        <c:lblAlgn val="ctr"/>
        <c:lblOffset val="100"/>
        <c:noMultiLvlLbl val="0"/>
      </c:catAx>
      <c:valAx>
        <c:axId val="21025303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cs typeface="Times New Roman"/>
                  </a:defRPr>
                </a:pPr>
                <a:r>
                  <a:rPr lang="en-US" sz="1400">
                    <a:latin typeface="Times New Roman"/>
                    <a:cs typeface="Times New Roman"/>
                  </a:rPr>
                  <a:t>Number of Controllers</a:t>
                </a:r>
              </a:p>
            </c:rich>
          </c:tx>
          <c:layout>
            <c:manualLayout>
              <c:xMode val="edge"/>
              <c:yMode val="edge"/>
              <c:x val="0.0135338345864662"/>
              <c:y val="0.3154462835002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 b="1">
                <a:latin typeface="Times New Roman"/>
                <a:cs typeface="Times New Roman"/>
              </a:defRPr>
            </a:pPr>
            <a:endParaRPr lang="en-US"/>
          </a:p>
        </c:txPr>
        <c:crossAx val="21025377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17010715765792"/>
          <c:y val="0.036281179138322"/>
          <c:w val="0.368986087265408"/>
          <c:h val="0.193088721052726"/>
        </c:manualLayout>
      </c:layout>
      <c:overlay val="0"/>
      <c:txPr>
        <a:bodyPr/>
        <a:lstStyle/>
        <a:p>
          <a:pPr>
            <a:defRPr sz="1400" b="1">
              <a:latin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346074</xdr:colOff>
      <xdr:row>4</xdr:row>
      <xdr:rowOff>0</xdr:rowOff>
    </xdr:from>
    <xdr:to>
      <xdr:col>23</xdr:col>
      <xdr:colOff>457200</xdr:colOff>
      <xdr:row>43</xdr:row>
      <xdr:rowOff>76200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292100</xdr:colOff>
      <xdr:row>53</xdr:row>
      <xdr:rowOff>127000</xdr:rowOff>
    </xdr:from>
    <xdr:to>
      <xdr:col>23</xdr:col>
      <xdr:colOff>609600</xdr:colOff>
      <xdr:row>97</xdr:row>
      <xdr:rowOff>12700</xdr:rowOff>
    </xdr:to>
    <xdr:graphicFrame macro="">
      <xdr:nvGraphicFramePr>
        <xdr:cNvPr id="3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0</xdr:rowOff>
    </xdr:from>
    <xdr:to>
      <xdr:col>22</xdr:col>
      <xdr:colOff>317500</xdr:colOff>
      <xdr:row>40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279400</xdr:colOff>
      <xdr:row>50</xdr:row>
      <xdr:rowOff>165100</xdr:rowOff>
    </xdr:from>
    <xdr:to>
      <xdr:col>21</xdr:col>
      <xdr:colOff>317500</xdr:colOff>
      <xdr:row>91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203200</xdr:colOff>
      <xdr:row>98</xdr:row>
      <xdr:rowOff>50800</xdr:rowOff>
    </xdr:from>
    <xdr:to>
      <xdr:col>21</xdr:col>
      <xdr:colOff>241300</xdr:colOff>
      <xdr:row>138</xdr:row>
      <xdr:rowOff>139700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749300</xdr:colOff>
      <xdr:row>2</xdr:row>
      <xdr:rowOff>38100</xdr:rowOff>
    </xdr:from>
    <xdr:to>
      <xdr:col>19</xdr:col>
      <xdr:colOff>254000</xdr:colOff>
      <xdr:row>37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9"/>
  <sheetViews>
    <sheetView tabSelected="1" topLeftCell="F17" workbookViewId="0">
      <selection activeCell="Y55" sqref="Y55"/>
    </sheetView>
  </sheetViews>
  <sheetFormatPr baseColWidth="10" defaultColWidth="8.83203125" defaultRowHeight="14" x14ac:dyDescent="0"/>
  <cols>
    <col min="1" max="5" width="8.83203125" style="3"/>
  </cols>
  <sheetData>
    <row r="1" spans="1:5">
      <c r="A1" s="2" t="s">
        <v>0</v>
      </c>
      <c r="B1" s="2" t="s">
        <v>75</v>
      </c>
      <c r="C1" s="2" t="s">
        <v>82</v>
      </c>
      <c r="D1" s="2" t="s">
        <v>81</v>
      </c>
      <c r="E1" s="2" t="s">
        <v>78</v>
      </c>
    </row>
    <row r="2" spans="1:5">
      <c r="A2" s="3" t="s">
        <v>1</v>
      </c>
      <c r="B2" s="3">
        <v>2</v>
      </c>
      <c r="C2" s="3">
        <v>2</v>
      </c>
      <c r="D2" s="3">
        <v>2</v>
      </c>
      <c r="E2" s="3">
        <v>4</v>
      </c>
    </row>
    <row r="3" spans="1:5">
      <c r="A3" s="3" t="s">
        <v>5</v>
      </c>
      <c r="B3" s="3">
        <v>1</v>
      </c>
      <c r="C3" s="3">
        <v>1</v>
      </c>
      <c r="D3" s="3">
        <v>1</v>
      </c>
      <c r="E3" s="3">
        <v>6</v>
      </c>
    </row>
    <row r="4" spans="1:5">
      <c r="A4" s="3" t="s">
        <v>8</v>
      </c>
      <c r="B4" s="3">
        <v>4</v>
      </c>
      <c r="C4" s="3">
        <v>4</v>
      </c>
      <c r="D4" s="3">
        <v>4</v>
      </c>
      <c r="E4" s="3">
        <v>7</v>
      </c>
    </row>
    <row r="5" spans="1:5">
      <c r="A5" s="3" t="s">
        <v>12</v>
      </c>
      <c r="B5" s="3">
        <v>2</v>
      </c>
      <c r="C5" s="3">
        <v>4</v>
      </c>
      <c r="D5" s="3">
        <v>2</v>
      </c>
      <c r="E5" s="3">
        <v>8</v>
      </c>
    </row>
    <row r="6" spans="1:5">
      <c r="A6" s="3" t="s">
        <v>13</v>
      </c>
      <c r="B6" s="3">
        <v>3</v>
      </c>
      <c r="C6" s="3">
        <v>3</v>
      </c>
      <c r="D6" s="3">
        <v>3</v>
      </c>
      <c r="E6" s="3">
        <v>9</v>
      </c>
    </row>
    <row r="7" spans="1:5">
      <c r="A7" s="3" t="s">
        <v>17</v>
      </c>
      <c r="B7" s="3">
        <v>6</v>
      </c>
      <c r="C7" s="3">
        <v>8</v>
      </c>
      <c r="D7" s="3">
        <v>7</v>
      </c>
      <c r="E7" s="3">
        <v>11</v>
      </c>
    </row>
    <row r="8" spans="1:5">
      <c r="A8" s="3" t="s">
        <v>20</v>
      </c>
      <c r="B8" s="3">
        <v>7</v>
      </c>
      <c r="C8" s="3">
        <v>7</v>
      </c>
      <c r="D8" s="3">
        <v>8</v>
      </c>
      <c r="E8" s="3">
        <v>13</v>
      </c>
    </row>
    <row r="9" spans="1:5">
      <c r="A9" s="3" t="s">
        <v>79</v>
      </c>
      <c r="B9" s="3">
        <v>5</v>
      </c>
      <c r="C9" s="3">
        <v>4</v>
      </c>
      <c r="D9" s="3">
        <v>5</v>
      </c>
      <c r="E9" s="3">
        <v>15</v>
      </c>
    </row>
    <row r="10" spans="1:5">
      <c r="A10" s="3" t="s">
        <v>23</v>
      </c>
      <c r="B10" s="3">
        <v>2</v>
      </c>
      <c r="C10" s="3">
        <v>2</v>
      </c>
      <c r="D10" s="3">
        <v>2</v>
      </c>
      <c r="E10" s="3">
        <v>16</v>
      </c>
    </row>
    <row r="11" spans="1:5">
      <c r="A11" s="3" t="s">
        <v>26</v>
      </c>
      <c r="B11" s="3">
        <v>10</v>
      </c>
      <c r="C11" s="3">
        <v>11</v>
      </c>
      <c r="D11" s="3">
        <v>11</v>
      </c>
      <c r="E11" s="3">
        <v>17</v>
      </c>
    </row>
    <row r="12" spans="1:5">
      <c r="A12" s="3" t="s">
        <v>28</v>
      </c>
      <c r="B12" s="3">
        <v>5</v>
      </c>
      <c r="C12" s="3">
        <v>5</v>
      </c>
      <c r="D12" s="3">
        <v>5</v>
      </c>
      <c r="E12" s="3">
        <v>18</v>
      </c>
    </row>
    <row r="13" spans="1:5">
      <c r="A13" s="3" t="s">
        <v>36</v>
      </c>
      <c r="B13" s="3">
        <v>2</v>
      </c>
      <c r="C13" s="3">
        <v>3</v>
      </c>
      <c r="D13" s="3">
        <v>4</v>
      </c>
      <c r="E13" s="3">
        <v>19</v>
      </c>
    </row>
    <row r="14" spans="1:5">
      <c r="A14" s="3" t="s">
        <v>38</v>
      </c>
      <c r="B14" s="3">
        <v>1</v>
      </c>
      <c r="C14" s="3">
        <v>1</v>
      </c>
      <c r="D14" s="3">
        <v>1</v>
      </c>
      <c r="E14" s="3">
        <v>20</v>
      </c>
    </row>
    <row r="15" spans="1:5">
      <c r="A15" s="3" t="s">
        <v>42</v>
      </c>
      <c r="B15" s="3">
        <v>1</v>
      </c>
      <c r="C15" s="3">
        <v>1</v>
      </c>
      <c r="D15" s="3">
        <v>1</v>
      </c>
      <c r="E15" s="3">
        <v>21</v>
      </c>
    </row>
    <row r="16" spans="1:5">
      <c r="A16" s="3" t="s">
        <v>46</v>
      </c>
      <c r="B16" s="3">
        <v>3</v>
      </c>
      <c r="C16" s="3">
        <v>3</v>
      </c>
      <c r="D16" s="3">
        <v>3</v>
      </c>
      <c r="E16" s="3">
        <v>23</v>
      </c>
    </row>
    <row r="17" spans="1:5">
      <c r="A17" s="3" t="s">
        <v>50</v>
      </c>
      <c r="B17" s="3">
        <v>3</v>
      </c>
      <c r="C17" s="3">
        <v>3</v>
      </c>
      <c r="D17" s="3">
        <v>2</v>
      </c>
      <c r="E17" s="3">
        <v>24</v>
      </c>
    </row>
    <row r="18" spans="1:5">
      <c r="A18" s="3" t="s">
        <v>52</v>
      </c>
      <c r="B18" s="3">
        <v>7</v>
      </c>
      <c r="C18" s="3">
        <v>8</v>
      </c>
      <c r="D18" s="3">
        <v>7</v>
      </c>
      <c r="E18" s="3">
        <v>25</v>
      </c>
    </row>
    <row r="19" spans="1:5">
      <c r="A19" s="3" t="s">
        <v>57</v>
      </c>
      <c r="B19" s="3">
        <v>7</v>
      </c>
      <c r="C19" s="3">
        <v>7</v>
      </c>
      <c r="D19" s="3">
        <v>10</v>
      </c>
      <c r="E19" s="3">
        <v>27</v>
      </c>
    </row>
    <row r="20" spans="1:5">
      <c r="A20" s="3" t="s">
        <v>58</v>
      </c>
      <c r="B20" s="3">
        <v>8</v>
      </c>
      <c r="C20" s="3">
        <v>10</v>
      </c>
      <c r="D20" s="3">
        <v>10</v>
      </c>
      <c r="E20" s="3">
        <v>28</v>
      </c>
    </row>
    <row r="21" spans="1:5">
      <c r="A21" s="3" t="s">
        <v>59</v>
      </c>
      <c r="B21" s="3">
        <v>8</v>
      </c>
      <c r="C21" s="3">
        <v>9</v>
      </c>
      <c r="D21" s="3">
        <v>9</v>
      </c>
      <c r="E21" s="3">
        <v>29</v>
      </c>
    </row>
    <row r="22" spans="1:5">
      <c r="A22" s="3" t="s">
        <v>60</v>
      </c>
      <c r="B22" s="3">
        <v>8</v>
      </c>
      <c r="C22" s="3">
        <v>10</v>
      </c>
      <c r="D22" s="3">
        <v>10</v>
      </c>
      <c r="E22" s="3">
        <v>31</v>
      </c>
    </row>
    <row r="23" spans="1:5">
      <c r="A23" s="3" t="s">
        <v>64</v>
      </c>
      <c r="B23" s="3">
        <v>2</v>
      </c>
      <c r="C23" s="3">
        <v>2</v>
      </c>
      <c r="D23" s="3">
        <v>2</v>
      </c>
      <c r="E23" s="3">
        <v>35</v>
      </c>
    </row>
    <row r="24" spans="1:5">
      <c r="A24" s="3" t="s">
        <v>65</v>
      </c>
      <c r="B24" s="3">
        <v>14</v>
      </c>
      <c r="C24" s="3">
        <v>17</v>
      </c>
      <c r="D24" s="3">
        <v>14</v>
      </c>
      <c r="E24" s="3">
        <v>37</v>
      </c>
    </row>
    <row r="25" spans="1:5">
      <c r="A25" s="3" t="s">
        <v>66</v>
      </c>
      <c r="B25" s="3">
        <v>1</v>
      </c>
      <c r="C25" s="3">
        <v>1</v>
      </c>
      <c r="D25" s="3">
        <v>1</v>
      </c>
      <c r="E25" s="3">
        <v>45</v>
      </c>
    </row>
    <row r="26" spans="1:5">
      <c r="A26" s="3" t="s">
        <v>67</v>
      </c>
      <c r="B26" s="3">
        <v>11</v>
      </c>
      <c r="C26" s="3">
        <v>13</v>
      </c>
      <c r="D26" s="3">
        <v>13</v>
      </c>
      <c r="E26" s="3">
        <v>48</v>
      </c>
    </row>
    <row r="27" spans="1:5">
      <c r="A27" s="3" t="s">
        <v>68</v>
      </c>
      <c r="B27" s="3">
        <v>1</v>
      </c>
      <c r="C27" s="3">
        <v>1</v>
      </c>
      <c r="D27" s="3">
        <v>1</v>
      </c>
      <c r="E27" s="3">
        <v>50</v>
      </c>
    </row>
    <row r="28" spans="1:5">
      <c r="A28" s="3" t="s">
        <v>69</v>
      </c>
      <c r="B28" s="3">
        <v>1</v>
      </c>
      <c r="C28" s="3">
        <v>1</v>
      </c>
      <c r="D28" s="3">
        <v>1</v>
      </c>
      <c r="E28" s="3">
        <v>51</v>
      </c>
    </row>
    <row r="29" spans="1:5">
      <c r="A29" s="3" t="s">
        <v>70</v>
      </c>
      <c r="B29" s="3">
        <v>4</v>
      </c>
      <c r="C29" s="3">
        <v>4</v>
      </c>
      <c r="D29" s="3">
        <v>4</v>
      </c>
      <c r="E29" s="3">
        <v>74</v>
      </c>
    </row>
  </sheetData>
  <phoneticPr fontId="18" type="noConversion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1"/>
  <sheetViews>
    <sheetView topLeftCell="A33" workbookViewId="0">
      <selection activeCell="J48" sqref="J48"/>
    </sheetView>
  </sheetViews>
  <sheetFormatPr baseColWidth="10" defaultRowHeight="14" x14ac:dyDescent="0"/>
  <sheetData>
    <row r="1" spans="1:8">
      <c r="A1" t="s">
        <v>0</v>
      </c>
      <c r="B1" t="s">
        <v>71</v>
      </c>
      <c r="C1" t="s">
        <v>72</v>
      </c>
      <c r="D1" t="s">
        <v>73</v>
      </c>
      <c r="E1" t="s">
        <v>74</v>
      </c>
      <c r="F1" t="s">
        <v>0</v>
      </c>
      <c r="G1" t="s">
        <v>77</v>
      </c>
      <c r="H1" t="s">
        <v>76</v>
      </c>
    </row>
    <row r="2" spans="1:8">
      <c r="A2" t="s">
        <v>1</v>
      </c>
      <c r="B2">
        <v>4</v>
      </c>
      <c r="C2">
        <v>3</v>
      </c>
      <c r="D2">
        <v>1</v>
      </c>
      <c r="E2">
        <v>3</v>
      </c>
      <c r="F2" t="s">
        <v>1</v>
      </c>
      <c r="G2" s="1">
        <f>(C2-D2)/C2</f>
        <v>0.66666666666666663</v>
      </c>
      <c r="H2" s="1">
        <f>(E2-D2)/E2</f>
        <v>0.66666666666666663</v>
      </c>
    </row>
    <row r="3" spans="1:8">
      <c r="A3" t="s">
        <v>2</v>
      </c>
      <c r="B3">
        <v>6</v>
      </c>
      <c r="C3">
        <v>3</v>
      </c>
      <c r="D3">
        <v>1</v>
      </c>
      <c r="E3">
        <v>4</v>
      </c>
      <c r="F3" t="s">
        <v>2</v>
      </c>
      <c r="G3" s="1">
        <f t="shared" ref="G3:G64" si="0">(C3-D3)/C3</f>
        <v>0.66666666666666663</v>
      </c>
      <c r="H3" s="1">
        <f t="shared" ref="H3:H64" si="1">(E3-D3)/E3</f>
        <v>0.75</v>
      </c>
    </row>
    <row r="4" spans="1:8">
      <c r="A4" t="s">
        <v>3</v>
      </c>
      <c r="B4">
        <v>6</v>
      </c>
      <c r="C4">
        <v>4</v>
      </c>
      <c r="D4">
        <v>1</v>
      </c>
      <c r="E4">
        <v>5</v>
      </c>
      <c r="F4" t="s">
        <v>3</v>
      </c>
      <c r="G4" s="1">
        <f t="shared" si="0"/>
        <v>0.75</v>
      </c>
      <c r="H4" s="1">
        <f t="shared" si="1"/>
        <v>0.8</v>
      </c>
    </row>
    <row r="5" spans="1:8">
      <c r="A5" t="s">
        <v>4</v>
      </c>
      <c r="B5">
        <v>6</v>
      </c>
      <c r="C5">
        <v>4</v>
      </c>
      <c r="D5">
        <v>1</v>
      </c>
      <c r="E5">
        <v>5</v>
      </c>
      <c r="F5" t="s">
        <v>4</v>
      </c>
      <c r="G5" s="1">
        <f t="shared" si="0"/>
        <v>0.75</v>
      </c>
      <c r="H5" s="1">
        <f t="shared" si="1"/>
        <v>0.8</v>
      </c>
    </row>
    <row r="6" spans="1:8">
      <c r="A6" t="s">
        <v>5</v>
      </c>
      <c r="B6">
        <v>6</v>
      </c>
      <c r="C6">
        <v>4</v>
      </c>
      <c r="D6">
        <v>1</v>
      </c>
      <c r="E6">
        <v>4</v>
      </c>
      <c r="F6" t="s">
        <v>5</v>
      </c>
      <c r="G6" s="1">
        <f t="shared" si="0"/>
        <v>0.75</v>
      </c>
      <c r="H6" s="1">
        <f t="shared" si="1"/>
        <v>0.75</v>
      </c>
    </row>
    <row r="7" spans="1:8">
      <c r="A7" t="s">
        <v>6</v>
      </c>
      <c r="B7">
        <v>6</v>
      </c>
      <c r="C7">
        <v>5</v>
      </c>
      <c r="D7">
        <v>2</v>
      </c>
      <c r="E7">
        <v>5</v>
      </c>
      <c r="F7" t="s">
        <v>6</v>
      </c>
      <c r="G7" s="1">
        <f t="shared" si="0"/>
        <v>0.6</v>
      </c>
      <c r="H7" s="1">
        <f t="shared" si="1"/>
        <v>0.6</v>
      </c>
    </row>
    <row r="8" spans="1:8">
      <c r="A8" t="s">
        <v>7</v>
      </c>
      <c r="B8">
        <v>6</v>
      </c>
      <c r="C8">
        <v>5</v>
      </c>
      <c r="D8">
        <v>1</v>
      </c>
      <c r="E8">
        <v>3</v>
      </c>
      <c r="F8" t="s">
        <v>7</v>
      </c>
      <c r="G8" s="1">
        <f t="shared" si="0"/>
        <v>0.8</v>
      </c>
      <c r="H8" s="1">
        <f t="shared" si="1"/>
        <v>0.66666666666666663</v>
      </c>
    </row>
    <row r="9" spans="1:8">
      <c r="A9" t="s">
        <v>8</v>
      </c>
      <c r="B9">
        <v>7</v>
      </c>
      <c r="C9">
        <v>4</v>
      </c>
      <c r="D9">
        <v>1</v>
      </c>
      <c r="E9">
        <v>4</v>
      </c>
      <c r="F9" t="s">
        <v>8</v>
      </c>
      <c r="G9" s="1">
        <f t="shared" si="0"/>
        <v>0.75</v>
      </c>
      <c r="H9" s="1">
        <f t="shared" si="1"/>
        <v>0.75</v>
      </c>
    </row>
    <row r="10" spans="1:8">
      <c r="A10" t="s">
        <v>9</v>
      </c>
      <c r="B10">
        <v>7</v>
      </c>
      <c r="C10">
        <v>4</v>
      </c>
      <c r="D10">
        <v>1</v>
      </c>
      <c r="E10">
        <v>4</v>
      </c>
      <c r="F10" t="s">
        <v>9</v>
      </c>
      <c r="G10" s="1">
        <f t="shared" si="0"/>
        <v>0.75</v>
      </c>
      <c r="H10" s="1">
        <f t="shared" si="1"/>
        <v>0.75</v>
      </c>
    </row>
    <row r="11" spans="1:8">
      <c r="A11" t="s">
        <v>10</v>
      </c>
      <c r="B11">
        <v>7</v>
      </c>
      <c r="C11">
        <v>5</v>
      </c>
      <c r="D11">
        <v>1</v>
      </c>
      <c r="E11">
        <v>5</v>
      </c>
      <c r="F11" t="s">
        <v>10</v>
      </c>
      <c r="G11" s="1">
        <f t="shared" si="0"/>
        <v>0.8</v>
      </c>
      <c r="H11" s="1">
        <f t="shared" si="1"/>
        <v>0.8</v>
      </c>
    </row>
    <row r="12" spans="1:8">
      <c r="A12" t="s">
        <v>11</v>
      </c>
      <c r="B12">
        <v>7</v>
      </c>
      <c r="C12">
        <v>6</v>
      </c>
      <c r="D12">
        <v>3</v>
      </c>
      <c r="E12">
        <v>6</v>
      </c>
      <c r="F12" t="s">
        <v>11</v>
      </c>
      <c r="G12" s="1">
        <f t="shared" si="0"/>
        <v>0.5</v>
      </c>
      <c r="H12" s="1">
        <f t="shared" si="1"/>
        <v>0.5</v>
      </c>
    </row>
    <row r="13" spans="1:8">
      <c r="A13" t="s">
        <v>12</v>
      </c>
      <c r="B13">
        <v>8</v>
      </c>
      <c r="C13">
        <v>2</v>
      </c>
      <c r="D13">
        <v>1</v>
      </c>
      <c r="E13">
        <v>4</v>
      </c>
      <c r="F13" t="s">
        <v>12</v>
      </c>
      <c r="G13" s="1">
        <f t="shared" si="0"/>
        <v>0.5</v>
      </c>
      <c r="H13" s="1">
        <f t="shared" si="1"/>
        <v>0.75</v>
      </c>
    </row>
    <row r="14" spans="1:8">
      <c r="A14" t="s">
        <v>13</v>
      </c>
      <c r="B14">
        <v>9</v>
      </c>
      <c r="C14">
        <v>3</v>
      </c>
      <c r="D14">
        <v>1</v>
      </c>
      <c r="E14">
        <v>3</v>
      </c>
      <c r="F14" t="s">
        <v>13</v>
      </c>
      <c r="G14" s="1">
        <f t="shared" si="0"/>
        <v>0.66666666666666663</v>
      </c>
      <c r="H14" s="1">
        <f t="shared" si="1"/>
        <v>0.66666666666666663</v>
      </c>
    </row>
    <row r="15" spans="1:8">
      <c r="A15" t="s">
        <v>14</v>
      </c>
      <c r="B15">
        <v>9</v>
      </c>
      <c r="C15">
        <v>5</v>
      </c>
      <c r="D15">
        <v>2</v>
      </c>
      <c r="E15">
        <v>7</v>
      </c>
      <c r="F15" t="s">
        <v>14</v>
      </c>
      <c r="G15" s="1">
        <f t="shared" si="0"/>
        <v>0.6</v>
      </c>
      <c r="H15" s="1">
        <f t="shared" si="1"/>
        <v>0.7142857142857143</v>
      </c>
    </row>
    <row r="16" spans="1:8">
      <c r="A16" t="s">
        <v>15</v>
      </c>
      <c r="B16">
        <v>9</v>
      </c>
      <c r="C16">
        <v>7</v>
      </c>
      <c r="D16">
        <v>2</v>
      </c>
      <c r="E16">
        <v>5</v>
      </c>
      <c r="F16" t="s">
        <v>15</v>
      </c>
      <c r="G16" s="1">
        <f t="shared" si="0"/>
        <v>0.7142857142857143</v>
      </c>
      <c r="H16" s="1">
        <f t="shared" si="1"/>
        <v>0.6</v>
      </c>
    </row>
    <row r="17" spans="1:8">
      <c r="A17" t="s">
        <v>16</v>
      </c>
      <c r="B17">
        <v>11</v>
      </c>
      <c r="C17">
        <v>6</v>
      </c>
      <c r="D17">
        <v>2</v>
      </c>
      <c r="E17">
        <v>8</v>
      </c>
      <c r="F17" t="s">
        <v>16</v>
      </c>
      <c r="G17" s="1">
        <f t="shared" si="0"/>
        <v>0.66666666666666663</v>
      </c>
      <c r="H17" s="1">
        <f t="shared" si="1"/>
        <v>0.75</v>
      </c>
    </row>
    <row r="18" spans="1:8">
      <c r="A18" t="s">
        <v>17</v>
      </c>
      <c r="B18">
        <v>11</v>
      </c>
      <c r="C18">
        <v>6</v>
      </c>
      <c r="D18">
        <v>1</v>
      </c>
      <c r="E18">
        <v>8</v>
      </c>
      <c r="F18" t="s">
        <v>17</v>
      </c>
      <c r="G18" s="1">
        <f t="shared" si="0"/>
        <v>0.83333333333333337</v>
      </c>
      <c r="H18" s="1">
        <f t="shared" si="1"/>
        <v>0.875</v>
      </c>
    </row>
    <row r="19" spans="1:8">
      <c r="A19" t="s">
        <v>18</v>
      </c>
      <c r="B19">
        <v>11</v>
      </c>
      <c r="C19">
        <v>7</v>
      </c>
      <c r="D19">
        <v>2</v>
      </c>
      <c r="E19">
        <v>8</v>
      </c>
      <c r="F19" t="s">
        <v>18</v>
      </c>
      <c r="G19" s="1">
        <f t="shared" si="0"/>
        <v>0.7142857142857143</v>
      </c>
      <c r="H19" s="1">
        <f t="shared" si="1"/>
        <v>0.75</v>
      </c>
    </row>
    <row r="20" spans="1:8">
      <c r="A20" t="s">
        <v>19</v>
      </c>
      <c r="B20">
        <v>13</v>
      </c>
      <c r="C20">
        <v>6</v>
      </c>
      <c r="D20">
        <v>2</v>
      </c>
      <c r="E20">
        <v>8</v>
      </c>
      <c r="F20" t="s">
        <v>19</v>
      </c>
      <c r="G20" s="1">
        <f t="shared" si="0"/>
        <v>0.66666666666666663</v>
      </c>
      <c r="H20" s="1">
        <f t="shared" si="1"/>
        <v>0.75</v>
      </c>
    </row>
    <row r="21" spans="1:8">
      <c r="A21" t="s">
        <v>20</v>
      </c>
      <c r="B21">
        <v>13</v>
      </c>
      <c r="C21">
        <v>7</v>
      </c>
      <c r="D21">
        <v>2</v>
      </c>
      <c r="E21">
        <v>7</v>
      </c>
      <c r="F21" t="s">
        <v>20</v>
      </c>
      <c r="G21" s="1">
        <f t="shared" si="0"/>
        <v>0.7142857142857143</v>
      </c>
      <c r="H21" s="1">
        <f t="shared" si="1"/>
        <v>0.7142857142857143</v>
      </c>
    </row>
    <row r="22" spans="1:8">
      <c r="A22" t="s">
        <v>21</v>
      </c>
      <c r="B22">
        <v>13</v>
      </c>
      <c r="C22">
        <v>8</v>
      </c>
      <c r="D22">
        <v>2</v>
      </c>
      <c r="E22">
        <v>9</v>
      </c>
      <c r="F22" t="s">
        <v>21</v>
      </c>
      <c r="G22" s="1">
        <f t="shared" si="0"/>
        <v>0.75</v>
      </c>
      <c r="H22" s="1">
        <f t="shared" si="1"/>
        <v>0.77777777777777779</v>
      </c>
    </row>
    <row r="23" spans="1:8">
      <c r="A23" t="s">
        <v>22</v>
      </c>
      <c r="B23">
        <v>16</v>
      </c>
      <c r="C23">
        <v>8</v>
      </c>
      <c r="D23">
        <v>4</v>
      </c>
      <c r="E23">
        <v>9</v>
      </c>
      <c r="F23" t="s">
        <v>22</v>
      </c>
      <c r="G23" s="1">
        <f t="shared" si="0"/>
        <v>0.5</v>
      </c>
      <c r="H23" s="1">
        <f t="shared" si="1"/>
        <v>0.55555555555555558</v>
      </c>
    </row>
    <row r="24" spans="1:8">
      <c r="A24" t="s">
        <v>23</v>
      </c>
      <c r="B24">
        <v>16</v>
      </c>
      <c r="C24">
        <v>9</v>
      </c>
      <c r="D24">
        <v>4</v>
      </c>
      <c r="E24">
        <v>11</v>
      </c>
      <c r="F24" t="s">
        <v>23</v>
      </c>
      <c r="G24" s="1">
        <f t="shared" si="0"/>
        <v>0.55555555555555558</v>
      </c>
      <c r="H24" s="1">
        <f t="shared" si="1"/>
        <v>0.63636363636363635</v>
      </c>
    </row>
    <row r="25" spans="1:8">
      <c r="A25" t="s">
        <v>24</v>
      </c>
      <c r="B25">
        <v>16</v>
      </c>
      <c r="C25">
        <v>9</v>
      </c>
      <c r="D25">
        <v>3</v>
      </c>
      <c r="E25">
        <v>9</v>
      </c>
      <c r="F25" t="s">
        <v>24</v>
      </c>
      <c r="G25" s="1">
        <f t="shared" si="0"/>
        <v>0.66666666666666663</v>
      </c>
      <c r="H25" s="1">
        <f t="shared" si="1"/>
        <v>0.66666666666666663</v>
      </c>
    </row>
    <row r="26" spans="1:8">
      <c r="A26" t="s">
        <v>25</v>
      </c>
      <c r="B26">
        <v>16</v>
      </c>
      <c r="C26">
        <v>10</v>
      </c>
      <c r="D26">
        <v>4</v>
      </c>
      <c r="E26">
        <v>11</v>
      </c>
      <c r="F26" t="s">
        <v>25</v>
      </c>
      <c r="G26" s="1">
        <f t="shared" si="0"/>
        <v>0.6</v>
      </c>
      <c r="H26" s="1">
        <f t="shared" si="1"/>
        <v>0.63636363636363635</v>
      </c>
    </row>
    <row r="27" spans="1:8">
      <c r="A27" t="s">
        <v>26</v>
      </c>
      <c r="B27">
        <v>17</v>
      </c>
      <c r="C27">
        <v>10</v>
      </c>
      <c r="D27">
        <v>3</v>
      </c>
      <c r="E27">
        <v>11</v>
      </c>
      <c r="F27" t="s">
        <v>26</v>
      </c>
      <c r="G27" s="1">
        <f t="shared" si="0"/>
        <v>0.7</v>
      </c>
      <c r="H27" s="1">
        <f t="shared" si="1"/>
        <v>0.72727272727272729</v>
      </c>
    </row>
    <row r="28" spans="1:8">
      <c r="A28" t="s">
        <v>27</v>
      </c>
      <c r="B28">
        <v>18</v>
      </c>
      <c r="C28">
        <v>5</v>
      </c>
      <c r="D28">
        <v>3</v>
      </c>
      <c r="E28">
        <v>10</v>
      </c>
      <c r="F28" t="s">
        <v>27</v>
      </c>
      <c r="G28" s="1">
        <f t="shared" si="0"/>
        <v>0.4</v>
      </c>
      <c r="H28" s="1">
        <f t="shared" si="1"/>
        <v>0.7</v>
      </c>
    </row>
    <row r="29" spans="1:8">
      <c r="A29" t="s">
        <v>28</v>
      </c>
      <c r="B29">
        <v>18</v>
      </c>
      <c r="C29">
        <v>6</v>
      </c>
      <c r="D29">
        <v>3</v>
      </c>
      <c r="E29">
        <v>7</v>
      </c>
      <c r="F29" t="s">
        <v>28</v>
      </c>
      <c r="G29" s="1">
        <f t="shared" si="0"/>
        <v>0.5</v>
      </c>
      <c r="H29" s="1">
        <f t="shared" si="1"/>
        <v>0.5714285714285714</v>
      </c>
    </row>
    <row r="30" spans="1:8">
      <c r="A30" t="s">
        <v>29</v>
      </c>
      <c r="B30">
        <v>18</v>
      </c>
      <c r="C30">
        <v>8</v>
      </c>
      <c r="D30">
        <v>3</v>
      </c>
      <c r="E30">
        <v>11</v>
      </c>
      <c r="F30" t="s">
        <v>29</v>
      </c>
      <c r="G30" s="1">
        <f t="shared" si="0"/>
        <v>0.625</v>
      </c>
      <c r="H30" s="1">
        <f t="shared" si="1"/>
        <v>0.72727272727272729</v>
      </c>
    </row>
    <row r="31" spans="1:8">
      <c r="A31" t="s">
        <v>30</v>
      </c>
      <c r="B31">
        <v>18</v>
      </c>
      <c r="C31">
        <v>9</v>
      </c>
      <c r="D31">
        <v>2</v>
      </c>
      <c r="E31">
        <v>12</v>
      </c>
      <c r="F31" t="s">
        <v>30</v>
      </c>
      <c r="G31" s="1">
        <f t="shared" si="0"/>
        <v>0.77777777777777779</v>
      </c>
      <c r="H31" s="1">
        <f t="shared" si="1"/>
        <v>0.83333333333333337</v>
      </c>
    </row>
    <row r="32" spans="1:8">
      <c r="A32" t="s">
        <v>31</v>
      </c>
      <c r="B32">
        <v>18</v>
      </c>
      <c r="C32">
        <v>9</v>
      </c>
      <c r="D32">
        <v>2</v>
      </c>
      <c r="E32">
        <v>6</v>
      </c>
      <c r="F32" t="s">
        <v>31</v>
      </c>
      <c r="G32" s="1">
        <f t="shared" si="0"/>
        <v>0.77777777777777779</v>
      </c>
      <c r="H32" s="1">
        <f t="shared" si="1"/>
        <v>0.66666666666666663</v>
      </c>
    </row>
    <row r="33" spans="1:8">
      <c r="A33" t="s">
        <v>32</v>
      </c>
      <c r="B33">
        <v>19</v>
      </c>
      <c r="C33">
        <v>6</v>
      </c>
      <c r="D33">
        <v>2</v>
      </c>
      <c r="E33">
        <v>7</v>
      </c>
      <c r="F33" t="s">
        <v>32</v>
      </c>
      <c r="G33" s="1">
        <f t="shared" si="0"/>
        <v>0.66666666666666663</v>
      </c>
      <c r="H33" s="1">
        <f t="shared" si="1"/>
        <v>0.7142857142857143</v>
      </c>
    </row>
    <row r="34" spans="1:8">
      <c r="A34" t="s">
        <v>33</v>
      </c>
      <c r="B34">
        <v>19</v>
      </c>
      <c r="C34">
        <v>7</v>
      </c>
      <c r="D34">
        <v>2</v>
      </c>
      <c r="E34">
        <v>10</v>
      </c>
      <c r="F34" t="s">
        <v>33</v>
      </c>
      <c r="G34" s="1">
        <f t="shared" si="0"/>
        <v>0.7142857142857143</v>
      </c>
      <c r="H34" s="1">
        <f t="shared" si="1"/>
        <v>0.8</v>
      </c>
    </row>
    <row r="35" spans="1:8">
      <c r="A35" t="s">
        <v>34</v>
      </c>
      <c r="B35">
        <v>19</v>
      </c>
      <c r="C35">
        <v>7</v>
      </c>
      <c r="D35">
        <v>2</v>
      </c>
      <c r="E35">
        <v>8</v>
      </c>
      <c r="F35" t="s">
        <v>34</v>
      </c>
      <c r="G35" s="1">
        <f t="shared" si="0"/>
        <v>0.7142857142857143</v>
      </c>
      <c r="H35" s="1">
        <f t="shared" si="1"/>
        <v>0.75</v>
      </c>
    </row>
    <row r="36" spans="1:8">
      <c r="A36" t="s">
        <v>35</v>
      </c>
      <c r="B36">
        <v>19</v>
      </c>
      <c r="C36">
        <v>8</v>
      </c>
      <c r="D36">
        <v>5</v>
      </c>
      <c r="E36">
        <v>15</v>
      </c>
      <c r="F36" t="s">
        <v>35</v>
      </c>
      <c r="G36" s="1">
        <f t="shared" si="0"/>
        <v>0.375</v>
      </c>
      <c r="H36" s="1">
        <f t="shared" si="1"/>
        <v>0.66666666666666663</v>
      </c>
    </row>
    <row r="37" spans="1:8">
      <c r="A37" t="s">
        <v>36</v>
      </c>
      <c r="B37">
        <v>19</v>
      </c>
      <c r="C37">
        <v>15</v>
      </c>
      <c r="D37">
        <v>2</v>
      </c>
      <c r="E37">
        <v>8</v>
      </c>
      <c r="F37" t="s">
        <v>36</v>
      </c>
      <c r="G37" s="1">
        <f t="shared" si="0"/>
        <v>0.8666666666666667</v>
      </c>
      <c r="H37" s="1">
        <f t="shared" si="1"/>
        <v>0.75</v>
      </c>
    </row>
    <row r="38" spans="1:8">
      <c r="A38" t="s">
        <v>37</v>
      </c>
      <c r="B38">
        <v>20</v>
      </c>
      <c r="C38">
        <v>7</v>
      </c>
      <c r="D38">
        <v>2</v>
      </c>
      <c r="E38">
        <v>8</v>
      </c>
      <c r="F38" t="s">
        <v>37</v>
      </c>
      <c r="G38" s="1">
        <f t="shared" si="0"/>
        <v>0.7142857142857143</v>
      </c>
      <c r="H38" s="1">
        <f t="shared" si="1"/>
        <v>0.75</v>
      </c>
    </row>
    <row r="39" spans="1:8">
      <c r="A39" t="s">
        <v>38</v>
      </c>
      <c r="B39">
        <v>20</v>
      </c>
      <c r="C39">
        <v>7</v>
      </c>
      <c r="D39">
        <v>2</v>
      </c>
      <c r="E39">
        <v>8</v>
      </c>
      <c r="F39" t="s">
        <v>38</v>
      </c>
      <c r="G39" s="1">
        <f t="shared" si="0"/>
        <v>0.7142857142857143</v>
      </c>
      <c r="H39" s="1">
        <f t="shared" si="1"/>
        <v>0.75</v>
      </c>
    </row>
    <row r="40" spans="1:8">
      <c r="A40" t="s">
        <v>39</v>
      </c>
      <c r="B40">
        <v>20</v>
      </c>
      <c r="C40">
        <v>13</v>
      </c>
      <c r="D40">
        <v>7</v>
      </c>
      <c r="E40">
        <v>13</v>
      </c>
      <c r="F40" t="s">
        <v>39</v>
      </c>
      <c r="G40" s="1">
        <f t="shared" si="0"/>
        <v>0.46153846153846156</v>
      </c>
      <c r="H40" s="1">
        <f t="shared" si="1"/>
        <v>0.46153846153846156</v>
      </c>
    </row>
    <row r="41" spans="1:8">
      <c r="A41" t="s">
        <v>40</v>
      </c>
      <c r="B41">
        <v>21</v>
      </c>
      <c r="C41">
        <v>5</v>
      </c>
      <c r="D41">
        <v>3</v>
      </c>
      <c r="E41">
        <v>10</v>
      </c>
      <c r="F41" t="s">
        <v>40</v>
      </c>
      <c r="G41" s="1">
        <f t="shared" si="0"/>
        <v>0.4</v>
      </c>
      <c r="H41" s="1">
        <f t="shared" si="1"/>
        <v>0.7</v>
      </c>
    </row>
    <row r="42" spans="1:8">
      <c r="A42" t="s">
        <v>41</v>
      </c>
      <c r="B42">
        <v>21</v>
      </c>
      <c r="C42">
        <v>6</v>
      </c>
      <c r="D42">
        <v>3</v>
      </c>
      <c r="E42">
        <v>10</v>
      </c>
      <c r="F42" t="s">
        <v>41</v>
      </c>
      <c r="G42" s="1">
        <f t="shared" si="0"/>
        <v>0.5</v>
      </c>
      <c r="H42" s="1">
        <f t="shared" si="1"/>
        <v>0.7</v>
      </c>
    </row>
    <row r="43" spans="1:8">
      <c r="A43" t="s">
        <v>42</v>
      </c>
      <c r="B43">
        <v>21</v>
      </c>
      <c r="C43">
        <v>7</v>
      </c>
      <c r="D43">
        <v>2</v>
      </c>
      <c r="E43">
        <v>7</v>
      </c>
      <c r="F43" t="s">
        <v>42</v>
      </c>
      <c r="G43" s="1">
        <f t="shared" si="0"/>
        <v>0.7142857142857143</v>
      </c>
      <c r="H43" s="1">
        <f t="shared" si="1"/>
        <v>0.7142857142857143</v>
      </c>
    </row>
    <row r="44" spans="1:8">
      <c r="A44" t="s">
        <v>43</v>
      </c>
      <c r="B44">
        <v>21</v>
      </c>
      <c r="C44">
        <v>8</v>
      </c>
      <c r="D44">
        <v>2</v>
      </c>
      <c r="E44">
        <v>5</v>
      </c>
      <c r="F44" t="s">
        <v>43</v>
      </c>
      <c r="G44" s="1">
        <f t="shared" si="0"/>
        <v>0.75</v>
      </c>
      <c r="H44" s="1">
        <f t="shared" si="1"/>
        <v>0.6</v>
      </c>
    </row>
    <row r="45" spans="1:8">
      <c r="A45" t="s">
        <v>44</v>
      </c>
      <c r="B45">
        <v>21</v>
      </c>
      <c r="C45">
        <v>13</v>
      </c>
      <c r="D45">
        <v>6</v>
      </c>
      <c r="E45">
        <v>14</v>
      </c>
      <c r="F45" t="s">
        <v>44</v>
      </c>
      <c r="G45" s="1">
        <f t="shared" si="0"/>
        <v>0.53846153846153844</v>
      </c>
      <c r="H45" s="1">
        <f t="shared" si="1"/>
        <v>0.5714285714285714</v>
      </c>
    </row>
    <row r="46" spans="1:8">
      <c r="A46" t="s">
        <v>45</v>
      </c>
      <c r="B46">
        <v>23</v>
      </c>
      <c r="C46">
        <v>6</v>
      </c>
      <c r="D46">
        <v>3</v>
      </c>
      <c r="E46">
        <v>12</v>
      </c>
      <c r="F46" t="s">
        <v>45</v>
      </c>
      <c r="G46" s="1">
        <f t="shared" si="0"/>
        <v>0.5</v>
      </c>
      <c r="H46" s="1">
        <f t="shared" si="1"/>
        <v>0.75</v>
      </c>
    </row>
    <row r="47" spans="1:8">
      <c r="A47" t="s">
        <v>46</v>
      </c>
      <c r="B47">
        <v>23</v>
      </c>
      <c r="C47">
        <v>9</v>
      </c>
      <c r="D47">
        <v>2</v>
      </c>
      <c r="E47">
        <v>6</v>
      </c>
      <c r="F47" t="s">
        <v>46</v>
      </c>
      <c r="G47" s="1">
        <f t="shared" si="0"/>
        <v>0.77777777777777779</v>
      </c>
      <c r="H47" s="1">
        <f t="shared" si="1"/>
        <v>0.66666666666666663</v>
      </c>
    </row>
    <row r="48" spans="1:8">
      <c r="A48" t="s">
        <v>47</v>
      </c>
      <c r="B48">
        <v>24</v>
      </c>
      <c r="C48">
        <v>8</v>
      </c>
      <c r="D48">
        <v>5</v>
      </c>
      <c r="E48">
        <v>13</v>
      </c>
      <c r="F48" t="s">
        <v>47</v>
      </c>
      <c r="G48" s="1">
        <f t="shared" si="0"/>
        <v>0.375</v>
      </c>
      <c r="H48" s="1">
        <f t="shared" si="1"/>
        <v>0.61538461538461542</v>
      </c>
    </row>
    <row r="49" spans="1:8">
      <c r="A49" t="s">
        <v>48</v>
      </c>
      <c r="B49">
        <v>24</v>
      </c>
      <c r="C49">
        <v>11</v>
      </c>
      <c r="D49">
        <v>3</v>
      </c>
      <c r="E49">
        <v>12</v>
      </c>
      <c r="F49" t="s">
        <v>48</v>
      </c>
      <c r="G49" s="1">
        <f t="shared" si="0"/>
        <v>0.72727272727272729</v>
      </c>
      <c r="H49" s="1">
        <f t="shared" si="1"/>
        <v>0.75</v>
      </c>
    </row>
    <row r="50" spans="1:8">
      <c r="A50" t="s">
        <v>49</v>
      </c>
      <c r="B50">
        <v>24</v>
      </c>
      <c r="C50">
        <v>12</v>
      </c>
      <c r="D50">
        <v>6</v>
      </c>
      <c r="E50">
        <v>18</v>
      </c>
      <c r="F50" t="s">
        <v>49</v>
      </c>
      <c r="G50" s="1">
        <f t="shared" si="0"/>
        <v>0.5</v>
      </c>
      <c r="H50" s="1">
        <f t="shared" si="1"/>
        <v>0.66666666666666663</v>
      </c>
    </row>
    <row r="51" spans="1:8">
      <c r="A51" t="s">
        <v>50</v>
      </c>
      <c r="B51">
        <v>24</v>
      </c>
      <c r="C51">
        <v>12</v>
      </c>
      <c r="D51">
        <v>5</v>
      </c>
      <c r="E51">
        <v>18</v>
      </c>
      <c r="F51" t="s">
        <v>50</v>
      </c>
      <c r="G51" s="1">
        <f t="shared" si="0"/>
        <v>0.58333333333333337</v>
      </c>
      <c r="H51" s="1">
        <f t="shared" si="1"/>
        <v>0.72222222222222221</v>
      </c>
    </row>
    <row r="52" spans="1:8">
      <c r="A52" t="s">
        <v>51</v>
      </c>
      <c r="B52">
        <v>24</v>
      </c>
      <c r="C52">
        <v>14</v>
      </c>
      <c r="D52">
        <v>4</v>
      </c>
      <c r="E52">
        <v>13</v>
      </c>
      <c r="F52" t="s">
        <v>51</v>
      </c>
      <c r="G52" s="1">
        <f t="shared" si="0"/>
        <v>0.7142857142857143</v>
      </c>
      <c r="H52" s="1">
        <f t="shared" si="1"/>
        <v>0.69230769230769229</v>
      </c>
    </row>
    <row r="53" spans="1:8">
      <c r="A53" t="s">
        <v>52</v>
      </c>
      <c r="B53">
        <v>25</v>
      </c>
      <c r="C53">
        <v>7</v>
      </c>
      <c r="D53">
        <v>3</v>
      </c>
      <c r="E53">
        <v>11</v>
      </c>
      <c r="F53" t="s">
        <v>52</v>
      </c>
      <c r="G53" s="1">
        <f t="shared" si="0"/>
        <v>0.5714285714285714</v>
      </c>
      <c r="H53" s="1">
        <f t="shared" si="1"/>
        <v>0.72727272727272729</v>
      </c>
    </row>
    <row r="54" spans="1:8">
      <c r="A54" t="s">
        <v>53</v>
      </c>
      <c r="B54">
        <v>25</v>
      </c>
      <c r="C54">
        <v>10</v>
      </c>
      <c r="D54">
        <v>3</v>
      </c>
      <c r="E54">
        <v>10</v>
      </c>
      <c r="F54" t="s">
        <v>53</v>
      </c>
      <c r="G54" s="1">
        <f t="shared" si="0"/>
        <v>0.7</v>
      </c>
      <c r="H54" s="1">
        <f t="shared" si="1"/>
        <v>0.7</v>
      </c>
    </row>
    <row r="55" spans="1:8">
      <c r="A55" t="s">
        <v>54</v>
      </c>
      <c r="B55">
        <v>25</v>
      </c>
      <c r="C55">
        <v>10</v>
      </c>
      <c r="D55">
        <v>3</v>
      </c>
      <c r="E55">
        <v>8</v>
      </c>
      <c r="F55" t="s">
        <v>54</v>
      </c>
      <c r="G55" s="1">
        <f t="shared" si="0"/>
        <v>0.7</v>
      </c>
      <c r="H55" s="1">
        <f t="shared" si="1"/>
        <v>0.625</v>
      </c>
    </row>
    <row r="56" spans="1:8">
      <c r="A56" t="s">
        <v>55</v>
      </c>
      <c r="B56">
        <v>27</v>
      </c>
      <c r="C56">
        <v>11</v>
      </c>
      <c r="D56">
        <v>7</v>
      </c>
      <c r="E56">
        <v>17</v>
      </c>
      <c r="F56" t="s">
        <v>55</v>
      </c>
      <c r="G56" s="1">
        <f t="shared" si="0"/>
        <v>0.36363636363636365</v>
      </c>
      <c r="H56" s="1">
        <f t="shared" si="1"/>
        <v>0.58823529411764708</v>
      </c>
    </row>
    <row r="57" spans="1:8">
      <c r="A57" t="s">
        <v>56</v>
      </c>
      <c r="B57">
        <v>27</v>
      </c>
      <c r="C57">
        <v>16</v>
      </c>
      <c r="D57">
        <v>3</v>
      </c>
      <c r="E57">
        <v>15</v>
      </c>
      <c r="F57" t="s">
        <v>56</v>
      </c>
      <c r="G57" s="1">
        <f t="shared" si="0"/>
        <v>0.8125</v>
      </c>
      <c r="H57" s="1">
        <f t="shared" si="1"/>
        <v>0.8</v>
      </c>
    </row>
    <row r="58" spans="1:8">
      <c r="A58" t="s">
        <v>57</v>
      </c>
      <c r="B58">
        <v>27</v>
      </c>
      <c r="C58">
        <v>19</v>
      </c>
      <c r="D58">
        <v>10</v>
      </c>
      <c r="E58">
        <v>22</v>
      </c>
      <c r="F58" t="s">
        <v>57</v>
      </c>
      <c r="G58" s="1">
        <f t="shared" si="0"/>
        <v>0.47368421052631576</v>
      </c>
      <c r="H58" s="1">
        <f t="shared" si="1"/>
        <v>0.54545454545454541</v>
      </c>
    </row>
    <row r="59" spans="1:8">
      <c r="A59" t="s">
        <v>58</v>
      </c>
      <c r="B59">
        <v>28</v>
      </c>
      <c r="C59">
        <v>8</v>
      </c>
      <c r="D59">
        <v>3</v>
      </c>
      <c r="E59">
        <v>10</v>
      </c>
      <c r="F59" t="s">
        <v>58</v>
      </c>
      <c r="G59" s="1">
        <f t="shared" si="0"/>
        <v>0.625</v>
      </c>
      <c r="H59" s="1">
        <f t="shared" si="1"/>
        <v>0.7</v>
      </c>
    </row>
    <row r="60" spans="1:8">
      <c r="A60" t="s">
        <v>59</v>
      </c>
      <c r="B60">
        <v>29</v>
      </c>
      <c r="C60">
        <v>13</v>
      </c>
      <c r="D60">
        <v>6</v>
      </c>
      <c r="E60">
        <v>13</v>
      </c>
      <c r="F60" t="s">
        <v>59</v>
      </c>
      <c r="G60" s="1">
        <f t="shared" si="0"/>
        <v>0.53846153846153844</v>
      </c>
      <c r="H60" s="1">
        <f t="shared" si="1"/>
        <v>0.53846153846153844</v>
      </c>
    </row>
    <row r="61" spans="1:8">
      <c r="A61" t="s">
        <v>60</v>
      </c>
      <c r="B61">
        <v>31</v>
      </c>
      <c r="C61">
        <v>8</v>
      </c>
      <c r="D61">
        <v>3</v>
      </c>
      <c r="E61">
        <v>10</v>
      </c>
      <c r="F61" t="s">
        <v>60</v>
      </c>
      <c r="G61" s="1">
        <f t="shared" si="0"/>
        <v>0.625</v>
      </c>
      <c r="H61" s="1">
        <f t="shared" si="1"/>
        <v>0.7</v>
      </c>
    </row>
    <row r="62" spans="1:8">
      <c r="A62" t="s">
        <v>61</v>
      </c>
      <c r="B62">
        <v>34</v>
      </c>
      <c r="C62">
        <v>5</v>
      </c>
      <c r="D62">
        <v>3</v>
      </c>
      <c r="E62">
        <v>7</v>
      </c>
      <c r="F62" t="s">
        <v>61</v>
      </c>
      <c r="G62" s="1">
        <f t="shared" si="0"/>
        <v>0.4</v>
      </c>
      <c r="H62" s="1">
        <f t="shared" si="1"/>
        <v>0.5714285714285714</v>
      </c>
    </row>
    <row r="63" spans="1:8">
      <c r="A63" t="s">
        <v>62</v>
      </c>
      <c r="B63">
        <v>34</v>
      </c>
      <c r="C63">
        <v>10</v>
      </c>
      <c r="D63">
        <v>5</v>
      </c>
      <c r="E63">
        <v>17</v>
      </c>
      <c r="F63" t="s">
        <v>62</v>
      </c>
      <c r="G63" s="1">
        <f t="shared" si="0"/>
        <v>0.5</v>
      </c>
      <c r="H63" s="1">
        <f t="shared" si="1"/>
        <v>0.70588235294117652</v>
      </c>
    </row>
    <row r="64" spans="1:8">
      <c r="A64" t="s">
        <v>63</v>
      </c>
      <c r="B64">
        <v>34</v>
      </c>
      <c r="C64">
        <v>14</v>
      </c>
      <c r="D64">
        <v>3</v>
      </c>
      <c r="E64">
        <v>11</v>
      </c>
      <c r="F64" t="s">
        <v>63</v>
      </c>
      <c r="G64" s="1">
        <f t="shared" si="0"/>
        <v>0.7857142857142857</v>
      </c>
      <c r="H64" s="1">
        <f t="shared" si="1"/>
        <v>0.72727272727272729</v>
      </c>
    </row>
    <row r="65" spans="1:8">
      <c r="A65" t="s">
        <v>64</v>
      </c>
      <c r="B65">
        <v>35</v>
      </c>
      <c r="C65">
        <v>10</v>
      </c>
      <c r="D65">
        <v>3</v>
      </c>
      <c r="E65">
        <v>12</v>
      </c>
      <c r="F65" t="s">
        <v>64</v>
      </c>
      <c r="G65" s="1">
        <f t="shared" ref="G65:G71" si="2">(C65-D65)/C65</f>
        <v>0.7</v>
      </c>
      <c r="H65" s="1">
        <f t="shared" ref="H65:H71" si="3">(E65-D65)/E65</f>
        <v>0.75</v>
      </c>
    </row>
    <row r="66" spans="1:8">
      <c r="A66" t="s">
        <v>65</v>
      </c>
      <c r="B66">
        <v>37</v>
      </c>
      <c r="C66">
        <v>14</v>
      </c>
      <c r="D66">
        <v>5</v>
      </c>
      <c r="E66">
        <v>17</v>
      </c>
      <c r="F66" t="s">
        <v>65</v>
      </c>
      <c r="G66" s="1">
        <f t="shared" si="2"/>
        <v>0.6428571428571429</v>
      </c>
      <c r="H66" s="1">
        <f t="shared" si="3"/>
        <v>0.70588235294117652</v>
      </c>
    </row>
    <row r="67" spans="1:8">
      <c r="A67" t="s">
        <v>66</v>
      </c>
      <c r="B67">
        <v>45</v>
      </c>
      <c r="C67">
        <v>16</v>
      </c>
      <c r="D67">
        <v>6</v>
      </c>
      <c r="E67">
        <v>18</v>
      </c>
      <c r="F67" t="s">
        <v>66</v>
      </c>
      <c r="G67" s="1">
        <f t="shared" si="2"/>
        <v>0.625</v>
      </c>
      <c r="H67" s="1">
        <f t="shared" si="3"/>
        <v>0.66666666666666663</v>
      </c>
    </row>
    <row r="68" spans="1:8">
      <c r="A68" t="s">
        <v>67</v>
      </c>
      <c r="B68">
        <v>48</v>
      </c>
      <c r="C68">
        <v>46</v>
      </c>
      <c r="D68">
        <v>26</v>
      </c>
      <c r="E68">
        <v>46</v>
      </c>
      <c r="F68" t="s">
        <v>67</v>
      </c>
      <c r="G68" s="1">
        <f t="shared" si="2"/>
        <v>0.43478260869565216</v>
      </c>
      <c r="H68" s="1">
        <f t="shared" si="3"/>
        <v>0.43478260869565216</v>
      </c>
    </row>
    <row r="69" spans="1:8">
      <c r="A69" t="s">
        <v>68</v>
      </c>
      <c r="B69">
        <v>50</v>
      </c>
      <c r="C69">
        <v>10</v>
      </c>
      <c r="D69">
        <v>4</v>
      </c>
      <c r="E69">
        <v>15</v>
      </c>
      <c r="F69" t="s">
        <v>68</v>
      </c>
      <c r="G69" s="1">
        <f t="shared" si="2"/>
        <v>0.6</v>
      </c>
      <c r="H69" s="1">
        <f t="shared" si="3"/>
        <v>0.73333333333333328</v>
      </c>
    </row>
    <row r="70" spans="1:8">
      <c r="A70" t="s">
        <v>69</v>
      </c>
      <c r="B70">
        <v>51</v>
      </c>
      <c r="C70">
        <v>8</v>
      </c>
      <c r="D70">
        <v>4</v>
      </c>
      <c r="E70">
        <v>9</v>
      </c>
      <c r="F70" t="s">
        <v>69</v>
      </c>
      <c r="G70" s="1">
        <f t="shared" si="2"/>
        <v>0.5</v>
      </c>
      <c r="H70" s="1">
        <f t="shared" si="3"/>
        <v>0.55555555555555558</v>
      </c>
    </row>
    <row r="71" spans="1:8">
      <c r="A71" t="s">
        <v>70</v>
      </c>
      <c r="B71">
        <v>74</v>
      </c>
      <c r="C71">
        <v>34</v>
      </c>
      <c r="D71">
        <v>15</v>
      </c>
      <c r="E71">
        <v>41</v>
      </c>
      <c r="F71" t="s">
        <v>70</v>
      </c>
      <c r="G71" s="1">
        <f t="shared" si="2"/>
        <v>0.55882352941176472</v>
      </c>
      <c r="H71" s="1">
        <f t="shared" si="3"/>
        <v>0.63414634146341464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C25" sqref="C25"/>
    </sheetView>
  </sheetViews>
  <sheetFormatPr baseColWidth="10" defaultRowHeight="14" x14ac:dyDescent="0"/>
  <sheetData>
    <row r="1" spans="1:4">
      <c r="A1" t="s">
        <v>80</v>
      </c>
      <c r="B1" s="2" t="s">
        <v>75</v>
      </c>
      <c r="C1" s="2" t="s">
        <v>81</v>
      </c>
      <c r="D1" s="2" t="s">
        <v>82</v>
      </c>
    </row>
    <row r="2" spans="1:4">
      <c r="A2">
        <v>1</v>
      </c>
      <c r="B2">
        <v>16</v>
      </c>
      <c r="C2">
        <v>19</v>
      </c>
      <c r="D2">
        <v>19</v>
      </c>
    </row>
    <row r="3" spans="1:4">
      <c r="A3">
        <v>2</v>
      </c>
      <c r="B3">
        <v>9</v>
      </c>
      <c r="C3">
        <v>11</v>
      </c>
      <c r="D3">
        <v>12</v>
      </c>
    </row>
    <row r="4" spans="1:4">
      <c r="A4">
        <v>3</v>
      </c>
      <c r="B4">
        <v>7</v>
      </c>
      <c r="C4">
        <v>9</v>
      </c>
      <c r="D4">
        <v>9</v>
      </c>
    </row>
    <row r="5" spans="1:4">
      <c r="A5">
        <v>4</v>
      </c>
      <c r="B5">
        <v>4</v>
      </c>
      <c r="C5">
        <v>7</v>
      </c>
      <c r="D5">
        <v>5</v>
      </c>
    </row>
    <row r="6" spans="1:4">
      <c r="A6">
        <v>5</v>
      </c>
      <c r="B6">
        <v>4</v>
      </c>
      <c r="C6">
        <v>4</v>
      </c>
      <c r="D6">
        <v>4</v>
      </c>
    </row>
    <row r="7" spans="1:4">
      <c r="A7">
        <v>6</v>
      </c>
      <c r="B7">
        <v>4</v>
      </c>
      <c r="C7">
        <v>3</v>
      </c>
      <c r="D7">
        <v>4</v>
      </c>
    </row>
    <row r="8" spans="1:4">
      <c r="A8">
        <v>7</v>
      </c>
      <c r="B8">
        <v>3</v>
      </c>
      <c r="C8">
        <v>3</v>
      </c>
      <c r="D8">
        <v>4</v>
      </c>
    </row>
    <row r="9" spans="1:4">
      <c r="A9">
        <v>8</v>
      </c>
      <c r="B9">
        <v>2</v>
      </c>
      <c r="C9">
        <v>3</v>
      </c>
      <c r="D9">
        <v>2</v>
      </c>
    </row>
    <row r="10" spans="1:4">
      <c r="A10">
        <v>9</v>
      </c>
      <c r="B10">
        <v>1</v>
      </c>
      <c r="C10">
        <v>3</v>
      </c>
      <c r="D10">
        <v>1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node</vt:lpstr>
      <vt:lpstr>ratio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Yingying Cheng</dc:creator>
  <cp:lastModifiedBy>Mengqing Wang</cp:lastModifiedBy>
  <dcterms:created xsi:type="dcterms:W3CDTF">2015-03-26T13:23:49Z</dcterms:created>
  <dcterms:modified xsi:type="dcterms:W3CDTF">2015-04-14T17:11:50Z</dcterms:modified>
</cp:coreProperties>
</file>